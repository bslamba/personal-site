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13.xml" ContentType="application/vnd.openxmlformats-officedocument.drawing+xml"/>
  <Override PartName="/xl/drawings/drawing17.xml" ContentType="application/vnd.openxmlformats-officedocument.drawing+xml"/>
  <Override PartName="/xl/drawings/drawing6.xml" ContentType="application/vnd.openxmlformats-officedocument.drawing+xml"/>
  <Override PartName="/xl/drawings/drawing16.xml" ContentType="application/vnd.openxmlformats-officedocument.drawing+xml"/>
  <Override PartName="/xl/drawings/drawing1.xml" ContentType="application/vnd.openxmlformats-officedocument.drawing+xml"/>
  <Override PartName="/xl/drawings/drawing18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Read Me" sheetId="1" state="visible" r:id="rId3"/>
    <sheet name="01 Business and Scope" sheetId="2" state="visible" r:id="rId4"/>
    <sheet name="02 Architecture and Sizing" sheetId="3" state="visible" r:id="rId5"/>
    <sheet name="03 Network Infrastructure" sheetId="4" state="visible" r:id="rId6"/>
    <sheet name="04 Identity Sources" sheetId="5" state="visible" r:id="rId7"/>
    <sheet name="05 Endpoints and Profiling" sheetId="6" state="visible" r:id="rId8"/>
    <sheet name="06 Wired Access" sheetId="7" state="visible" r:id="rId9"/>
    <sheet name="07 Wireless Access" sheetId="8" state="visible" r:id="rId10"/>
    <sheet name="08 VPN and Remote Access" sheetId="9" state="visible" r:id="rId11"/>
    <sheet name="09 Guest Access" sheetId="10" state="visible" r:id="rId12"/>
    <sheet name="10 BYOD and Onboarding" sheetId="11" state="visible" r:id="rId13"/>
    <sheet name="11 Posture and Compliance" sheetId="12" state="visible" r:id="rId14"/>
    <sheet name="12 TrustSec Segmentation" sheetId="13" state="visible" r:id="rId15"/>
    <sheet name="13 Device Admin TACACS" sheetId="14" state="visible" r:id="rId16"/>
    <sheet name="14 Certificates and PKI" sheetId="15" state="visible" r:id="rId17"/>
    <sheet name="15 Integrations pxGrid" sheetId="16" state="visible" r:id="rId18"/>
    <sheet name="16 HA and Disaster Recovery" sheetId="17" state="visible" r:id="rId19"/>
    <sheet name="17 Licensing" sheetId="18" state="visible" r:id="rId20"/>
    <sheet name="18 Operations Monitoring" sheetId="19" state="visible" r:id="rId21"/>
    <sheet name="19 Migration and Rollout" sheetId="20" state="visible" r:id="rId22"/>
    <sheet name="20 Security Compliance" sheetId="21" state="visible" r:id="rId23"/>
    <sheet name="21 Completion Tracker" sheetId="22" state="visible" r:id="rId24"/>
  </sheets>
  <definedNames>
    <definedName function="false" hidden="true" localSheetId="1" name="_xlnm._FilterDatabase" vbProcedure="false">'01 Business and Scope'!$A$2:$H$17</definedName>
    <definedName function="false" hidden="true" localSheetId="2" name="_xlnm._FilterDatabase" vbProcedure="false">'02 Architecture and Sizing'!$A$2:$H$20</definedName>
    <definedName function="false" hidden="true" localSheetId="3" name="_xlnm._FilterDatabase" vbProcedure="false">'03 Network Infrastructure'!$A$2:$H$21</definedName>
    <definedName function="false" hidden="true" localSheetId="4" name="_xlnm._FilterDatabase" vbProcedure="false">'04 Identity Sources'!$A$2:$H$17</definedName>
    <definedName function="false" hidden="true" localSheetId="5" name="_xlnm._FilterDatabase" vbProcedure="false">'05 Endpoints and Profiling'!$A$2:$H$17</definedName>
    <definedName function="false" hidden="true" localSheetId="6" name="_xlnm._FilterDatabase" vbProcedure="false">'06 Wired Access'!$A$2:$H$16</definedName>
    <definedName function="false" hidden="true" localSheetId="7" name="_xlnm._FilterDatabase" vbProcedure="false">'07 Wireless Access'!$A$2:$H$12</definedName>
    <definedName function="false" hidden="true" localSheetId="8" name="_xlnm._FilterDatabase" vbProcedure="false">'08 VPN and Remote Access'!$A$2:$H$8</definedName>
    <definedName function="false" hidden="true" localSheetId="9" name="_xlnm._FilterDatabase" vbProcedure="false">'09 Guest Access'!$A$2:$H$15</definedName>
    <definedName function="false" hidden="true" localSheetId="10" name="_xlnm._FilterDatabase" vbProcedure="false">'10 BYOD and Onboarding'!$A$2:$H$12</definedName>
    <definedName function="false" hidden="true" localSheetId="11" name="_xlnm._FilterDatabase" vbProcedure="false">'11 Posture and Compliance'!$A$2:$H$12</definedName>
    <definedName function="false" hidden="true" localSheetId="12" name="_xlnm._FilterDatabase" vbProcedure="false">'12 TrustSec Segmentation'!$A$2:$H$10</definedName>
    <definedName function="false" hidden="true" localSheetId="13" name="_xlnm._FilterDatabase" vbProcedure="false">'13 Device Admin TACACS'!$A$2:$H$12</definedName>
    <definedName function="false" hidden="true" localSheetId="14" name="_xlnm._FilterDatabase" vbProcedure="false">'14 Certificates and PKI'!$A$2:$H$12</definedName>
    <definedName function="false" hidden="true" localSheetId="15" name="_xlnm._FilterDatabase" vbProcedure="false">'15 Integrations pxGrid'!$A$2:$H$13</definedName>
    <definedName function="false" hidden="true" localSheetId="16" name="_xlnm._FilterDatabase" vbProcedure="false">'16 HA and Disaster Recovery'!$A$2:$H$12</definedName>
    <definedName function="false" hidden="true" localSheetId="17" name="_xlnm._FilterDatabase" vbProcedure="false">'17 Licensing'!$A$2:$H$10</definedName>
    <definedName function="false" hidden="true" localSheetId="18" name="_xlnm._FilterDatabase" vbProcedure="false">'18 Operations Monitoring'!$A$2:$H$12</definedName>
    <definedName function="false" hidden="true" localSheetId="19" name="_xlnm._FilterDatabase" vbProcedure="false">'19 Migration and Rollout'!$A$2:$H$12</definedName>
    <definedName function="false" hidden="true" localSheetId="20" name="_xlnm._FilterDatabase" vbProcedure="false">'20 Security Compliance'!$A$2:$H$12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<sst xmlns="http://schemas.openxmlformats.org/spreadsheetml/2006/main" count="1905" uniqueCount="1146">
  <si>
    <t xml:space="preserve">Cisco ISE — Customer Discovery Questionnaire</t>
  </si>
  <si>
    <t xml:space="preserve">Greenfield deployment · requirements gathering pack</t>
  </si>
  <si>
    <t xml:space="preserve">Purpose</t>
  </si>
  <si>
    <t xml:space="preserve">A structured, phase-by-phase question set for scoping a Cisco ISE deployment. Work through the sheets in order — later answers depend on earlier ones.</t>
  </si>
  <si>
    <t xml:space="preserve">How to use</t>
  </si>
  <si>
    <t xml:space="preserve">Complete the yellow 'Customer Answer' column only. Every other column is reference material and should not be edited.</t>
  </si>
  <si>
    <t xml:space="preserve">Sequencing</t>
  </si>
  <si>
    <t xml:space="preserve">Do not begin architecture and sizing until Business and Scope is complete. Do not begin enforcement design until the endpoint estate is understood.</t>
  </si>
  <si>
    <t xml:space="preserve">COLUMN GUIDE</t>
  </si>
  <si>
    <t xml:space="preserve">Ref</t>
  </si>
  <si>
    <t xml:space="preserve">Unique reference. Quote this in follow-up correspondence.</t>
  </si>
  <si>
    <t xml:space="preserve">Category</t>
  </si>
  <si>
    <t xml:space="preserve">Sub-topic within the phase.</t>
  </si>
  <si>
    <t xml:space="preserve">Question</t>
  </si>
  <si>
    <t xml:space="preserve">Ask exactly as written where possible — the wording is deliberate.</t>
  </si>
  <si>
    <t xml:space="preserve">Why It Matters</t>
  </si>
  <si>
    <t xml:space="preserve">The design decision this answer drives. Use it to explain to the customer why you are asking.</t>
  </si>
  <si>
    <t xml:space="preserve">Example Answer</t>
  </si>
  <si>
    <t xml:space="preserve">A realistic answer showing the expected format and level of detail. Not a suggestion to the customer.</t>
  </si>
  <si>
    <t xml:space="preserve">Customer Answer</t>
  </si>
  <si>
    <t xml:space="preserve">YELLOW — the only column to complete.</t>
  </si>
  <si>
    <t xml:space="preserve">Priority</t>
  </si>
  <si>
    <t xml:space="preserve">Critical answers block design. High answers block a workstream. Medium can follow.</t>
  </si>
  <si>
    <t xml:space="preserve">Owner</t>
  </si>
  <si>
    <t xml:space="preserve">Which customer team is most likely to hold the answer.</t>
  </si>
  <si>
    <t xml:space="preserve">PHASES</t>
  </si>
  <si>
    <t xml:space="preserve">01 Business and Scope</t>
  </si>
  <si>
    <t xml:space="preserve">15 questions — Establish why the project exists and what success looks like.</t>
  </si>
  <si>
    <t xml:space="preserve">02 Architecture and Sizing</t>
  </si>
  <si>
    <t xml:space="preserve">18 questions — Sizing and deployment model decisions are expensive to reverse.</t>
  </si>
  <si>
    <t xml:space="preserve">03 Network Infrastructure</t>
  </si>
  <si>
    <t xml:space="preserve">19 questions — ISE is only as capable as the network devices in front of it.</t>
  </si>
  <si>
    <t xml:space="preserve">04 Identity Sources</t>
  </si>
  <si>
    <t xml:space="preserve">15 questions — Identity sources determine what policy can be written.</t>
  </si>
  <si>
    <t xml:space="preserve">05 Endpoints and Profiling</t>
  </si>
  <si>
    <t xml:space="preserve">15 questions — You cannot write policy for devices you cannot identify.</t>
  </si>
  <si>
    <t xml:space="preserve">06 Wired Access</t>
  </si>
  <si>
    <t xml:space="preserve">14 questions — Wired 802.</t>
  </si>
  <si>
    <t xml:space="preserve">07 Wireless Access</t>
  </si>
  <si>
    <t xml:space="preserve">10 questions — Wireless is usually the easiest place to start because the supplicant is already configured on most devices.</t>
  </si>
  <si>
    <t xml:space="preserve">08 VPN and Remote Access</t>
  </si>
  <si>
    <t xml:space="preserve">6 questions — Remote access is frequently added to ISE scope after the initial deployment.</t>
  </si>
  <si>
    <t xml:space="preserve">09 Guest Access</t>
  </si>
  <si>
    <t xml:space="preserve">13 questions — Guest access is the most visible ISE feature and the one most likely to create risk if designed casually.</t>
  </si>
  <si>
    <t xml:space="preserve">10 BYOD and Onboarding</t>
  </si>
  <si>
    <t xml:space="preserve">10 questions — BYOD onboarding removes corporate passwords from unmanaged devices.</t>
  </si>
  <si>
    <t xml:space="preserve">11 Posture and Compliance</t>
  </si>
  <si>
    <t xml:space="preserve">10 questions — Posture turns network access from a question of identity into a question of hygiene.</t>
  </si>
  <si>
    <t xml:space="preserve">12 TrustSec Segmentation</t>
  </si>
  <si>
    <t xml:space="preserve">8 questions — TrustSec decouples policy from IP addressing.</t>
  </si>
  <si>
    <t xml:space="preserve">13 Device Admin TACACS</t>
  </si>
  <si>
    <t xml:space="preserve">10 questions — Device administration is often the fastest ISE win — it is low risk, high value, and touches no endpoints.</t>
  </si>
  <si>
    <t xml:space="preserve">14 Certificates and PKI</t>
  </si>
  <si>
    <t xml:space="preserve">10 questions — Certificate problems are the single largest category of ISE failures.</t>
  </si>
  <si>
    <t xml:space="preserve">15 Integrations pxGrid</t>
  </si>
  <si>
    <t xml:space="preserve">11 questions — pxGrid turns ISE from an access control product into the identity source for the wider security stack.</t>
  </si>
  <si>
    <t xml:space="preserve">16 HA and Disaster Recovery</t>
  </si>
  <si>
    <t xml:space="preserve">10 questions — Resilience decisions are business decisions about acceptable downtime.</t>
  </si>
  <si>
    <t xml:space="preserve">17 Licensing</t>
  </si>
  <si>
    <t xml:space="preserve">8 questions — ISE licensing is tiered and nested.</t>
  </si>
  <si>
    <t xml:space="preserve">18 Operations Monitoring</t>
  </si>
  <si>
    <t xml:space="preserve">10 questions — The deployment succeeds or fails after go-live.</t>
  </si>
  <si>
    <t xml:space="preserve">19 Migration and Rollout</t>
  </si>
  <si>
    <t xml:space="preserve">10 questions — Sequencing determines risk.</t>
  </si>
  <si>
    <t xml:space="preserve">20 Security Compliance</t>
  </si>
  <si>
    <t xml:space="preserve">10 questions — These questions surface constraints that would otherwise appear late, usually during a security review shortly before go-live.</t>
  </si>
  <si>
    <t xml:space="preserve">Example row</t>
  </si>
  <si>
    <t xml:space="preserve">An example is provided in the 'Example or Expected Answer' column of every question. Match that level of specificity.</t>
  </si>
  <si>
    <t xml:space="preserve">Version</t>
  </si>
  <si>
    <t xml:space="preserve">v1.0 — compiled from Cisco ISE design and prescriptive deployment guidance.</t>
  </si>
  <si>
    <t xml:space="preserve">Establish why the project exists and what success looks like. Answers here constrain every later decision — do not proceed to architecture until this sheet is complete.</t>
  </si>
  <si>
    <t xml:space="preserve">Why It Matters / Design Impact</t>
  </si>
  <si>
    <t xml:space="preserve">Example or Expected Answer</t>
  </si>
  <si>
    <t xml:space="preserve">01.01</t>
  </si>
  <si>
    <t xml:space="preserve">Drivers</t>
  </si>
  <si>
    <t xml:space="preserve">What is the primary business driver for deploying Cisco ISE?</t>
  </si>
  <si>
    <t xml:space="preserve">Determines which features are in scope first and how success is measured. A compliance-driven project prioritises reporting; a security-driven one prioritises enforcement.</t>
  </si>
  <si>
    <t xml:space="preserve">Audit finding requiring 802.1X on all wired ports by Q4; or zero-trust programme; or replacing an end-of-life NAC product.</t>
  </si>
  <si>
    <t xml:space="preserve">Critical</t>
  </si>
  <si>
    <t xml:space="preserve">Business Sponsor</t>
  </si>
  <si>
    <t xml:space="preserve">01.02</t>
  </si>
  <si>
    <t xml:space="preserve">Is this deployment driven by a specific audit finding, regulation or framework?</t>
  </si>
  <si>
    <t xml:space="preserve">Named frameworks (PCI-DSS, HIPAA, NIST 800-53, ISO 27001, NIS2) impose specific evidence and reporting requirements.</t>
  </si>
  <si>
    <t xml:space="preserve">PCI-DSS requirement 1 and 9 for network segmentation and physical access to network jacks.</t>
  </si>
  <si>
    <t xml:space="preserve">Security Team</t>
  </si>
  <si>
    <t xml:space="preserve">01.03</t>
  </si>
  <si>
    <t xml:space="preserve">What happens if this project does not complete on time?</t>
  </si>
  <si>
    <t xml:space="preserve">Reveals the true deadline and whether it is externally imposed.</t>
  </si>
  <si>
    <t xml:space="preserve">External auditor re-tests in November; failure means a qualified opinion.</t>
  </si>
  <si>
    <t xml:space="preserve">High</t>
  </si>
  <si>
    <t xml:space="preserve">01.04</t>
  </si>
  <si>
    <t xml:space="preserve">Scope</t>
  </si>
  <si>
    <t xml:space="preserve">Which sites are in scope, and in what order?</t>
  </si>
  <si>
    <t xml:space="preserve">Drives PSN placement, WAN dependency analysis and rollout sequencing.</t>
  </si>
  <si>
    <t xml:space="preserve">HQ (4,000 users) phase 1; 12 regional offices phase 2; 40 retail sites phase 3.</t>
  </si>
  <si>
    <t xml:space="preserve">Project Manager</t>
  </si>
  <si>
    <t xml:space="preserve">01.05</t>
  </si>
  <si>
    <t xml:space="preserve">Which sites are explicitly out of scope, and why?</t>
  </si>
  <si>
    <t xml:space="preserve">Prevents scope creep and identifies networks that must still function without ISE.</t>
  </si>
  <si>
    <t xml:space="preserve">OT/manufacturing VLANs excluded in phase 1 pending a separate OT security workstream.</t>
  </si>
  <si>
    <t xml:space="preserve">01.06</t>
  </si>
  <si>
    <t xml:space="preserve">Is this a greenfield deployment or a migration from an existing NAC?</t>
  </si>
  <si>
    <t xml:space="preserve">Migration requires policy translation, parallel running and cutover planning; greenfield does not.</t>
  </si>
  <si>
    <t xml:space="preserve">Greenfield. No existing NAC; ports are currently open.</t>
  </si>
  <si>
    <t xml:space="preserve">01.07</t>
  </si>
  <si>
    <t xml:space="preserve">If migrating, what is the incumbent product and version?</t>
  </si>
  <si>
    <t xml:space="preserve">Determines whether policy can be exported, and what behaviour users already expect.</t>
  </si>
  <si>
    <t xml:space="preserve">Cisco ACS 5.8 for TACACS+ only; no 802.1X today.</t>
  </si>
  <si>
    <t xml:space="preserve">Network Team</t>
  </si>
  <si>
    <t xml:space="preserve">01.08</t>
  </si>
  <si>
    <t xml:space="preserve">Success</t>
  </si>
  <si>
    <t xml:space="preserve">How will success be measured, in numbers?</t>
  </si>
  <si>
    <t xml:space="preserve">Without a measurable definition the project cannot be closed.</t>
  </si>
  <si>
    <t xml:space="preserve">95 percent of wired ports in closed mode; 100 percent of switches using TACACS+; zero unidentified endpoints.</t>
  </si>
  <si>
    <t xml:space="preserve">01.09</t>
  </si>
  <si>
    <t xml:space="preserve">What is the acceptable level of user disruption during rollout?</t>
  </si>
  <si>
    <t xml:space="preserve">Determines whether monitor mode can be shortened and how aggressive enforcement can be.</t>
  </si>
  <si>
    <t xml:space="preserve">Zero disruption to production users. Any change must be reversible within 15 minutes.</t>
  </si>
  <si>
    <t xml:space="preserve">01.10</t>
  </si>
  <si>
    <t xml:space="preserve">Timeline</t>
  </si>
  <si>
    <t xml:space="preserve">What is the target date for first enforcement, and for full rollout?</t>
  </si>
  <si>
    <t xml:space="preserve">Sets the pace of the monitor-mode phase, which should not be compressed.</t>
  </si>
  <si>
    <t xml:space="preserve">Pilot enforcement March; full wired enforcement September.</t>
  </si>
  <si>
    <t xml:space="preserve">01.11</t>
  </si>
  <si>
    <t xml:space="preserve">What change control process governs production changes, and what is the lead time?</t>
  </si>
  <si>
    <t xml:space="preserve">CAB lead times frequently dominate the project schedule.</t>
  </si>
  <si>
    <t xml:space="preserve">Standard change: 10 working days. Emergency: 24 hours with director approval.</t>
  </si>
  <si>
    <t xml:space="preserve">01.12</t>
  </si>
  <si>
    <t xml:space="preserve">Stakeholders</t>
  </si>
  <si>
    <t xml:space="preserve">Who owns the network, the identity platform, the endpoints and the security policy?</t>
  </si>
  <si>
    <t xml:space="preserve">ISE spans four teams. Unowned areas are where projects stall.</t>
  </si>
  <si>
    <t xml:space="preserve">Network: infrastructure team. Identity: AD team. Endpoints: EUC. Policy: security architecture.</t>
  </si>
  <si>
    <t xml:space="preserve">01.13</t>
  </si>
  <si>
    <t xml:space="preserve">Who is authorised to approve a policy that will deny access to a user?</t>
  </si>
  <si>
    <t xml:space="preserve">Enforcement decisions are business decisions. This person must be named before enforcement begins.</t>
  </si>
  <si>
    <t xml:space="preserve">CISO, with delegated authority to the security operations manager.</t>
  </si>
  <si>
    <t xml:space="preserve">01.14</t>
  </si>
  <si>
    <t xml:space="preserve">Budget</t>
  </si>
  <si>
    <t xml:space="preserve">Is budget approved for licences, hardware or VMs, professional services and training?</t>
  </si>
  <si>
    <t xml:space="preserve">Missing budget lines, particularly training and support, cause post-deployment failures.</t>
  </si>
  <si>
    <t xml:space="preserve">Licences and PS approved. Training not yet budgeted.</t>
  </si>
  <si>
    <t xml:space="preserve">01.15</t>
  </si>
  <si>
    <t xml:space="preserve">Operations</t>
  </si>
  <si>
    <t xml:space="preserve">Who will operate ISE after go-live, and do they have ISE experience?</t>
  </si>
  <si>
    <t xml:space="preserve">Determines the amount of knowledge transfer and documentation required.</t>
  </si>
  <si>
    <t xml:space="preserve">Network operations team of six; no prior ISE experience.</t>
  </si>
  <si>
    <t xml:space="preserve">Sizing and deployment model decisions are expensive to reverse. Answer with a five-year view, not today's numbers.</t>
  </si>
  <si>
    <t xml:space="preserve">02.01</t>
  </si>
  <si>
    <t xml:space="preserve">Scale</t>
  </si>
  <si>
    <t xml:space="preserve">How many concurrent endpoints will authenticate at peak?</t>
  </si>
  <si>
    <t xml:space="preserve">Primary input to deployment model and PSN count. Peak, not average.</t>
  </si>
  <si>
    <t xml:space="preserve">18,000 concurrent sessions at 09:00 Monday.</t>
  </si>
  <si>
    <t xml:space="preserve">02.02</t>
  </si>
  <si>
    <t xml:space="preserve">How many total unique endpoints exist across the estate?</t>
  </si>
  <si>
    <t xml:space="preserve">Drives licence count and endpoint database sizing.</t>
  </si>
  <si>
    <t xml:space="preserve">26,000 unique MAC addresses observed over 30 days.</t>
  </si>
  <si>
    <t xml:space="preserve">02.03</t>
  </si>
  <si>
    <t xml:space="preserve">What is the expected endpoint growth over five years?</t>
  </si>
  <si>
    <t xml:space="preserve">Prevents selecting a deployment model that caps out in year two.</t>
  </si>
  <si>
    <t xml:space="preserve">Approximately 8 percent per year, plus a planned IoT programme adding 5,000 devices.</t>
  </si>
  <si>
    <t xml:space="preserve">02.04</t>
  </si>
  <si>
    <t xml:space="preserve">What is the expected authentications per second at peak?</t>
  </si>
  <si>
    <t xml:space="preserve">Determines PSN sizing and whether latency targets are achievable.</t>
  </si>
  <si>
    <t xml:space="preserve">Estimated 120 authentications per second during morning login.</t>
  </si>
  <si>
    <t xml:space="preserve">02.05</t>
  </si>
  <si>
    <t xml:space="preserve">Architecture</t>
  </si>
  <si>
    <t xml:space="preserve">Standalone, distributed or hybrid deployment model?</t>
  </si>
  <si>
    <t xml:space="preserve">Small, medium (max 8 nodes) and large (max 58 nodes) have hard node ceilings.</t>
  </si>
  <si>
    <t xml:space="preserve">Medium: 2 x PAN/MnT, 4 x PSN, 2 x pxGrid/SXP.</t>
  </si>
  <si>
    <t xml:space="preserve">02.06</t>
  </si>
  <si>
    <t xml:space="preserve">Will PSNs be centralised in the data centre or distributed to sites?</t>
  </si>
  <si>
    <t xml:space="preserve">Centralised is simpler and cheaper but depends entirely on WAN availability.</t>
  </si>
  <si>
    <t xml:space="preserve">Centralised in two data centres, with critical authentication configured at branches.</t>
  </si>
  <si>
    <t xml:space="preserve">02.07</t>
  </si>
  <si>
    <t xml:space="preserve">Physical appliances or virtual machines?</t>
  </si>
  <si>
    <t xml:space="preserve">VMs must meet reserved CPU, memory and disk specifications. Under-resourced VMs cause intermittent failures.</t>
  </si>
  <si>
    <t xml:space="preserve">VMware vSphere 8, dedicated cluster, reserved resources.</t>
  </si>
  <si>
    <t xml:space="preserve">Server / VM Team</t>
  </si>
  <si>
    <t xml:space="preserve">02.08</t>
  </si>
  <si>
    <t xml:space="preserve">If virtual, can CPU, memory and disk be reserved and guaranteed?</t>
  </si>
  <si>
    <t xml:space="preserve">Oversubscribed hosts are a leading cause of unexplained ISE performance problems.</t>
  </si>
  <si>
    <t xml:space="preserve">Yes, full reservation approved by the virtualisation team.</t>
  </si>
  <si>
    <t xml:space="preserve">02.09</t>
  </si>
  <si>
    <t xml:space="preserve">Which hypervisor and version, or which cloud platform?</t>
  </si>
  <si>
    <t xml:space="preserve">Affects supported ISE versions and available deployment methods.</t>
  </si>
  <si>
    <t xml:space="preserve">VMware ESXi 8.0 U2. No cloud deployment planned.</t>
  </si>
  <si>
    <t xml:space="preserve">02.10</t>
  </si>
  <si>
    <t xml:space="preserve">How many data centres are available, and are they active-active?</t>
  </si>
  <si>
    <t xml:space="preserve">Determines PAN and MnT placement and disaster recovery design.</t>
  </si>
  <si>
    <t xml:space="preserve">Two active-active data centres, 4 ms apart, dark fibre.</t>
  </si>
  <si>
    <t xml:space="preserve">02.11</t>
  </si>
  <si>
    <t xml:space="preserve">Network</t>
  </si>
  <si>
    <t xml:space="preserve">What is the measured bandwidth and latency between proposed ISE node locations?</t>
  </si>
  <si>
    <t xml:space="preserve">Replication and logging traffic have documented minimums. Latency affects sync time.</t>
  </si>
  <si>
    <t xml:space="preserve">Data centre to branch: 20 Mbps, 45 ms round trip.</t>
  </si>
  <si>
    <t xml:space="preserve">02.12</t>
  </si>
  <si>
    <t xml:space="preserve">What happens at a branch if the WAN fails and ISE is unreachable?</t>
  </si>
  <si>
    <t xml:space="preserve">This question produces the Critical Auth VLAN and Critical MAB design.</t>
  </si>
  <si>
    <t xml:space="preserve">Currently undefined. Must be designed — users must retain limited access.</t>
  </si>
  <si>
    <t xml:space="preserve">02.13</t>
  </si>
  <si>
    <t xml:space="preserve">Where will Active Directory domain controllers sit relative to the PSNs?</t>
  </si>
  <si>
    <t xml:space="preserve">Every authentication that hits AD crosses whatever is between them.</t>
  </si>
  <si>
    <t xml:space="preserve">Domain controllers in both data centres, alongside the PSNs.</t>
  </si>
  <si>
    <t xml:space="preserve">Identity / AD Team</t>
  </si>
  <si>
    <t xml:space="preserve">02.14</t>
  </si>
  <si>
    <t xml:space="preserve">Resilience</t>
  </si>
  <si>
    <t xml:space="preserve">If the primary PAN fails, what is the acceptable impact?</t>
  </si>
  <si>
    <t xml:space="preserve">Authentication continues; configuration changes stop. Sets expectations for PAN redundancy.</t>
  </si>
  <si>
    <t xml:space="preserve">Acceptable for up to 4 hours. Secondary PAN required.</t>
  </si>
  <si>
    <t xml:space="preserve">02.15</t>
  </si>
  <si>
    <t xml:space="preserve">If an MnT node fails, what is the acceptable impact?</t>
  </si>
  <si>
    <t xml:space="preserve">Authentication continues; visibility is lost. Often underestimated during incidents.</t>
  </si>
  <si>
    <t xml:space="preserve">Not acceptable during business hours. Two MnT nodes required.</t>
  </si>
  <si>
    <t xml:space="preserve">02.16</t>
  </si>
  <si>
    <t xml:space="preserve">Do network devices have more than one PSN configured in their RADIUS server group?</t>
  </si>
  <si>
    <t xml:space="preserve">A switch that knows only one PSN turns any PSN maintenance into a site outage.</t>
  </si>
  <si>
    <t xml:space="preserve">Not yet. Must be configured before enforcement.</t>
  </si>
  <si>
    <t xml:space="preserve">02.17</t>
  </si>
  <si>
    <t xml:space="preserve">Sizing</t>
  </si>
  <si>
    <t xml:space="preserve">What is the required log retention period for authentication records?</t>
  </si>
  <si>
    <t xml:space="preserve">Drives MnT disk sizing, which is the most common capacity failure.</t>
  </si>
  <si>
    <t xml:space="preserve">13 months, per internal audit policy.</t>
  </si>
  <si>
    <t xml:space="preserve">02.18</t>
  </si>
  <si>
    <t xml:space="preserve">Is an external syslog or SIEM target required for long-term retention?</t>
  </si>
  <si>
    <t xml:space="preserve">Offloading reduces MnT pressure and satisfies retention requirements.</t>
  </si>
  <si>
    <t xml:space="preserve">Yes, Splunk. Syslog over TCP with TLS.</t>
  </si>
  <si>
    <t xml:space="preserve">ISE is only as capable as the network devices in front of it. Old or unsupported hardware is the most common cause of feature gaps discovered late.</t>
  </si>
  <si>
    <t xml:space="preserve">03.01</t>
  </si>
  <si>
    <t xml:space="preserve">Switching</t>
  </si>
  <si>
    <t xml:space="preserve">What switch models and software versions are deployed, by site?</t>
  </si>
  <si>
    <t xml:space="preserve">Determines support for IBNS 2.0, CoA, dACL, SGT inline tagging and device sensor.</t>
  </si>
  <si>
    <t xml:space="preserve">Catalyst 9300 on 17.9.x at HQ; Catalyst 2960X on 15.2 at branches.</t>
  </si>
  <si>
    <t xml:space="preserve">03.02</t>
  </si>
  <si>
    <t xml:space="preserve">Are any switches end of support or unable to run a suitable code version?</t>
  </si>
  <si>
    <t xml:space="preserve">Legacy hardware may not support required features and may need replacing first.</t>
  </si>
  <si>
    <t xml:space="preserve">2960X cannot support IBNS 2.0. Refresh planned for FY27.</t>
  </si>
  <si>
    <t xml:space="preserve">03.03</t>
  </si>
  <si>
    <t xml:space="preserve">How many access switch ports are in scope in total?</t>
  </si>
  <si>
    <t xml:space="preserve">Drives effort estimation and licence count.</t>
  </si>
  <si>
    <t xml:space="preserve">Approximately 9,400 access ports.</t>
  </si>
  <si>
    <t xml:space="preserve">03.04</t>
  </si>
  <si>
    <t xml:space="preserve">Is a standard access port configuration template in use today?</t>
  </si>
  <si>
    <t xml:space="preserve">A consistent baseline dramatically reduces rollout effort and error rate.</t>
  </si>
  <si>
    <t xml:space="preserve">Yes, but three variants exist across sites.</t>
  </si>
  <si>
    <t xml:space="preserve">03.05</t>
  </si>
  <si>
    <t xml:space="preserve">Are switch stacks, chassis or virtual switching systems in use?</t>
  </si>
  <si>
    <t xml:space="preserve">Affects how RADIUS source interface and redundancy behave.</t>
  </si>
  <si>
    <t xml:space="preserve">VSS pairs in distribution; stacks of up to four in access.</t>
  </si>
  <si>
    <t xml:space="preserve">Medium</t>
  </si>
  <si>
    <t xml:space="preserve">03.06</t>
  </si>
  <si>
    <t xml:space="preserve">Wireless</t>
  </si>
  <si>
    <t xml:space="preserve">What wireless controllers and code versions are deployed?</t>
  </si>
  <si>
    <t xml:space="preserve">Determines CWA, CoA, AAA override and FlexConnect behaviour.</t>
  </si>
  <si>
    <t xml:space="preserve">Catalyst 9800-40 on 17.9.4, two per data centre in SSO pair.</t>
  </si>
  <si>
    <t xml:space="preserve">Wireless Team</t>
  </si>
  <si>
    <t xml:space="preserve">03.07</t>
  </si>
  <si>
    <t xml:space="preserve">Are access points in local or FlexConnect mode?</t>
  </si>
  <si>
    <t xml:space="preserve">FlexConnect changes where authentication and CoA are handled.</t>
  </si>
  <si>
    <t xml:space="preserve">Local mode at HQ; FlexConnect at 40 retail sites.</t>
  </si>
  <si>
    <t xml:space="preserve">03.08</t>
  </si>
  <si>
    <t xml:space="preserve">How many SSIDs exist today and what is each used for?</t>
  </si>
  <si>
    <t xml:space="preserve">Determines whether single or dual SSID BYOD is feasible.</t>
  </si>
  <si>
    <t xml:space="preserve">Corporate (PEAP), Guest (open with portal), IoT (PSK).</t>
  </si>
  <si>
    <t xml:space="preserve">03.09</t>
  </si>
  <si>
    <t xml:space="preserve">Routing</t>
  </si>
  <si>
    <t xml:space="preserve">What is the RADIUS source interface configuration on network devices?</t>
  </si>
  <si>
    <t xml:space="preserve">ISE must have the network device defined by the actual source IP of the RADIUS packet.</t>
  </si>
  <si>
    <t xml:space="preserve">Loopback0 on all Catalyst 9000 switches.</t>
  </si>
  <si>
    <t xml:space="preserve">03.10</t>
  </si>
  <si>
    <t xml:space="preserve">Are there firewalls between network devices and the proposed PSN locations?</t>
  </si>
  <si>
    <t xml:space="preserve">CoA travels ISE to NAD, the reverse of normal RADIUS. This flow is frequently blocked.</t>
  </si>
  <si>
    <t xml:space="preserve">Yes, between branch sites and data centre. Firewall change required.</t>
  </si>
  <si>
    <t xml:space="preserve">03.11</t>
  </si>
  <si>
    <t xml:space="preserve">Is NAT performed anywhere between network devices and ISE?</t>
  </si>
  <si>
    <t xml:space="preserve">NAT breaks the mapping between device IP and the ISE network device definition.</t>
  </si>
  <si>
    <t xml:space="preserve">No NAT in the internal path.</t>
  </si>
  <si>
    <t xml:space="preserve">03.12</t>
  </si>
  <si>
    <t xml:space="preserve">Services</t>
  </si>
  <si>
    <t xml:space="preserve">Where are DHCP servers, and can an ip helper-address be added pointing at the PSNs?</t>
  </si>
  <si>
    <t xml:space="preserve">The DHCP profiling probe is the highest-value probe after RADIUS.</t>
  </si>
  <si>
    <t xml:space="preserve">Windows DHCP in both data centres. Helper change requires a CAB.</t>
  </si>
  <si>
    <t xml:space="preserve">03.13</t>
  </si>
  <si>
    <t xml:space="preserve">Are SNMP credentials available for network devices, and which version?</t>
  </si>
  <si>
    <t xml:space="preserve">Required for the SNMP profiling probe. SNMPv3 is required in many security policies.</t>
  </si>
  <si>
    <t xml:space="preserve">SNMPv3 configured on Catalyst 9000; v2c only on older switches.</t>
  </si>
  <si>
    <t xml:space="preserve">03.14</t>
  </si>
  <si>
    <t xml:space="preserve">Is NTP configured and synchronised on all network devices and servers?</t>
  </si>
  <si>
    <t xml:space="preserve">Certificate validation and log correlation both depend on accurate time.</t>
  </si>
  <si>
    <t xml:space="preserve">Yes, two internal NTP sources.</t>
  </si>
  <si>
    <t xml:space="preserve">03.15</t>
  </si>
  <si>
    <t xml:space="preserve">Is DNS forward and reverse resolution available for all proposed ISE nodes?</t>
  </si>
  <si>
    <t xml:space="preserve">ISE node registration fails without both. Reverse records are frequently missing.</t>
  </si>
  <si>
    <t xml:space="preserve">Forward exists; reverse records must be created.</t>
  </si>
  <si>
    <t xml:space="preserve">03.16</t>
  </si>
  <si>
    <t xml:space="preserve">Voice</t>
  </si>
  <si>
    <t xml:space="preserve">Are IP phones deployed, and which models?</t>
  </si>
  <si>
    <t xml:space="preserve">Voice VLAN handling, multi-domain host mode and device-traffic-class attributes depend on this.</t>
  </si>
  <si>
    <t xml:space="preserve">Cisco 8845 and 7841, approximately 2,800 handsets.</t>
  </si>
  <si>
    <t xml:space="preserve">03.17</t>
  </si>
  <si>
    <t xml:space="preserve">Do PCs connect through the phone switch port?</t>
  </si>
  <si>
    <t xml:space="preserve">Requires multi-domain host mode and correct authorisation for both domains.</t>
  </si>
  <si>
    <t xml:space="preserve">Yes, standard desk configuration.</t>
  </si>
  <si>
    <t xml:space="preserve">03.18</t>
  </si>
  <si>
    <t xml:space="preserve">Other</t>
  </si>
  <si>
    <t xml:space="preserve">Are there any non-Cisco network devices that must authenticate against ISE?</t>
  </si>
  <si>
    <t xml:space="preserve">Third-party RADIUS behaviour and CoA support vary considerably.</t>
  </si>
  <si>
    <t xml:space="preserve">Aruba access switches at two acquired sites.</t>
  </si>
  <si>
    <t xml:space="preserve">03.19</t>
  </si>
  <si>
    <t xml:space="preserve">Are there unmanaged switches or hubs anywhere in the estate?</t>
  </si>
  <si>
    <t xml:space="preserve">Requires multi-auth host mode and weakens the security model.</t>
  </si>
  <si>
    <t xml:space="preserve">Yes, in three lab areas. To be removed.</t>
  </si>
  <si>
    <t xml:space="preserve">Identity sources determine what policy can be written. Every source adds an integration and a failure mode.</t>
  </si>
  <si>
    <t xml:space="preserve">04.01</t>
  </si>
  <si>
    <t xml:space="preserve">Directory</t>
  </si>
  <si>
    <t xml:space="preserve">What Active Directory forests and domains exist?</t>
  </si>
  <si>
    <t xml:space="preserve">Multi-forest deployments require separate join points and careful policy design.</t>
  </si>
  <si>
    <t xml:space="preserve">Single forest, three child domains.</t>
  </si>
  <si>
    <t xml:space="preserve">04.02</t>
  </si>
  <si>
    <t xml:space="preserve">Are there trust relationships between forests, and of what type?</t>
  </si>
  <si>
    <t xml:space="preserve">Determines whether one join point can serve multiple domains.</t>
  </si>
  <si>
    <t xml:space="preserve">Two-way forest trust with an acquired company forest.</t>
  </si>
  <si>
    <t xml:space="preserve">04.03</t>
  </si>
  <si>
    <t xml:space="preserve">What Windows Server version do the domain controllers run?</t>
  </si>
  <si>
    <t xml:space="preserve">Windows Server 2025 disables EAP-MS-CHAPv2 and EAP-GTC password changes by default.</t>
  </si>
  <si>
    <t xml:space="preserve">Windows Server 2022, moving to 2025 next year.</t>
  </si>
  <si>
    <t xml:space="preserve">04.04</t>
  </si>
  <si>
    <t xml:space="preserve">Which AD groups will be used in authorisation policy?</t>
  </si>
  <si>
    <t xml:space="preserve">Group design drives policy design. Poorly structured groups make policy unmaintainable.</t>
  </si>
  <si>
    <t xml:space="preserve">Role-based groups exist. Nested three levels deep.</t>
  </si>
  <si>
    <t xml:space="preserve">04.05</t>
  </si>
  <si>
    <t xml:space="preserve">Can a dedicated service account be created for the ISE machine account join?</t>
  </si>
  <si>
    <t xml:space="preserve">Required for the join, with specific delegated permissions.</t>
  </si>
  <si>
    <t xml:space="preserve">Yes, subject to a service account request.</t>
  </si>
  <si>
    <t xml:space="preserve">04.06</t>
  </si>
  <si>
    <t xml:space="preserve">Is Microsoft Entra ID in use, and is it required as an identity source?</t>
  </si>
  <si>
    <t xml:space="preserve">Entra ID integration enables certificate-based authorisation and Conditional Access alignment.</t>
  </si>
  <si>
    <t xml:space="preserve">Yes, hybrid joined devices. Entra ID integration desired in phase 2.</t>
  </si>
  <si>
    <t xml:space="preserve">04.07</t>
  </si>
  <si>
    <t xml:space="preserve">Are LDAP or ODBC identity stores required for any use case?</t>
  </si>
  <si>
    <t xml:space="preserve">Common for contractor databases and legacy applications.</t>
  </si>
  <si>
    <t xml:space="preserve">Yes, an Oracle contractor database via ODBC.</t>
  </si>
  <si>
    <t xml:space="preserve">04.08</t>
  </si>
  <si>
    <t xml:space="preserve">MFA</t>
  </si>
  <si>
    <t xml:space="preserve">Is multifactor authentication required for any ISE use case?</t>
  </si>
  <si>
    <t xml:space="preserve">Duo can be integrated natively from ISE 3.3 patch 1 as an external identity source.</t>
  </si>
  <si>
    <t xml:space="preserve">Yes, for VPN and for device administration.</t>
  </si>
  <si>
    <t xml:space="preserve">04.09</t>
  </si>
  <si>
    <t xml:space="preserve">Which MFA product is in use?</t>
  </si>
  <si>
    <t xml:space="preserve">Determines whether native integration or RADIUS proxy is required.</t>
  </si>
  <si>
    <t xml:space="preserve">Cisco Duo.</t>
  </si>
  <si>
    <t xml:space="preserve">04.10</t>
  </si>
  <si>
    <t xml:space="preserve">Certificates</t>
  </si>
  <si>
    <t xml:space="preserve">Will certificate-based authentication (EAP-TLS) be used, and for which endpoints?</t>
  </si>
  <si>
    <t xml:space="preserve">EAP-TLS is the strongest method and the most demanding to deploy.</t>
  </si>
  <si>
    <t xml:space="preserve">Yes, for all corporate Windows and macOS endpoints.</t>
  </si>
  <si>
    <t xml:space="preserve">04.11</t>
  </si>
  <si>
    <t xml:space="preserve">How will the certificate subject be mapped to an identity in AD?</t>
  </si>
  <si>
    <t xml:space="preserve">Determines the certificate authentication profile and whether binary comparison is needed.</t>
  </si>
  <si>
    <t xml:space="preserve">SAN UPN mapped to userPrincipalName, with binary comparison enabled.</t>
  </si>
  <si>
    <t xml:space="preserve">04.12</t>
  </si>
  <si>
    <t xml:space="preserve">Accounts</t>
  </si>
  <si>
    <t xml:space="preserve">How are contractors and third parties represented in the directory today?</t>
  </si>
  <si>
    <t xml:space="preserve">Determines whether they can be authorised by group or need a separate flow.</t>
  </si>
  <si>
    <t xml:space="preserve">In a separate OU with a naming convention, but no dedicated group.</t>
  </si>
  <si>
    <t xml:space="preserve">04.13</t>
  </si>
  <si>
    <t xml:space="preserve">What is the joiner, mover and leaver process, and how quickly does it run?</t>
  </si>
  <si>
    <t xml:space="preserve">A stale account is a valid credential. Affects the value of identity-based control.</t>
  </si>
  <si>
    <t xml:space="preserve">Automated on HR trigger, within 24 hours.</t>
  </si>
  <si>
    <t xml:space="preserve">04.14</t>
  </si>
  <si>
    <t xml:space="preserve">Are there shared or generic accounts in use anywhere?</t>
  </si>
  <si>
    <t xml:space="preserve">Shared accounts undermine accountability and complicate policy.</t>
  </si>
  <si>
    <t xml:space="preserve">Yes, in the warehouse. To be reviewed.</t>
  </si>
  <si>
    <t xml:space="preserve">04.15</t>
  </si>
  <si>
    <t xml:space="preserve">Internal</t>
  </si>
  <si>
    <t xml:space="preserve">Will the ISE internal identity store be used for any accounts?</t>
  </si>
  <si>
    <t xml:space="preserve">Useful for a small number of exceptions but should not become a shadow directory.</t>
  </si>
  <si>
    <t xml:space="preserve">Only for break-glass administrative accounts.</t>
  </si>
  <si>
    <t xml:space="preserve">You cannot write policy for devices you cannot identify. Profiling turns MAB from a weak allow-list into a defensible control.</t>
  </si>
  <si>
    <t xml:space="preserve">05.01</t>
  </si>
  <si>
    <t xml:space="preserve">Inventory</t>
  </si>
  <si>
    <t xml:space="preserve">What operating systems and versions are in use across the estate?</t>
  </si>
  <si>
    <t xml:space="preserve">Determines supplicant capability, provisioning method and posture agent support.</t>
  </si>
  <si>
    <t xml:space="preserve">Windows 11 (7,000), macOS 14 (900), iOS and Android (mixed BYOD).</t>
  </si>
  <si>
    <t xml:space="preserve">Desktop / EUC</t>
  </si>
  <si>
    <t xml:space="preserve">05.02</t>
  </si>
  <si>
    <t xml:space="preserve">Is there an existing CMDB or asset inventory, and how accurate is it?</t>
  </si>
  <si>
    <t xml:space="preserve">A good inventory shortens discovery considerably. A bad one is worse than none.</t>
  </si>
  <si>
    <t xml:space="preserve">ServiceNow CMDB exists, estimated 70 percent accurate.</t>
  </si>
  <si>
    <t xml:space="preserve">05.03</t>
  </si>
  <si>
    <t xml:space="preserve">What non-user endpoints exist — printers, cameras, badge readers, building management, medical, OT?</t>
  </si>
  <si>
    <t xml:space="preserve">These devices cannot run a supplicant and drive the MAB and profiling design.</t>
  </si>
  <si>
    <t xml:space="preserve">Approximately 1,900: printers, IP cameras, door controllers, HVAC.</t>
  </si>
  <si>
    <t xml:space="preserve">05.04</t>
  </si>
  <si>
    <t xml:space="preserve">Are there any devices that must never be blocked under any circumstances?</t>
  </si>
  <si>
    <t xml:space="preserve">Life-safety and OT devices require explicit exception handling.</t>
  </si>
  <si>
    <t xml:space="preserve">Nurse call system and fire panel network. Must never be denied.</t>
  </si>
  <si>
    <t xml:space="preserve">05.05</t>
  </si>
  <si>
    <t xml:space="preserve">Supplicant</t>
  </si>
  <si>
    <t xml:space="preserve">Do corporate Windows endpoints have the Wired AutoConfig (DOT3SVC) service enabled?</t>
  </si>
  <si>
    <t xml:space="preserve">Not enabled by default on many builds. Its absence causes unexpected MAB.</t>
  </si>
  <si>
    <t xml:space="preserve">Not currently. GPO required before enforcement.</t>
  </si>
  <si>
    <t xml:space="preserve">05.06</t>
  </si>
  <si>
    <t xml:space="preserve">How will supplicant configuration be deployed and enforced?</t>
  </si>
  <si>
    <t xml:space="preserve">Group Policy, Intune or manual. Determines readiness timeline.</t>
  </si>
  <si>
    <t xml:space="preserve">Intune for Windows and macOS; GPO fallback for domain-joined only.</t>
  </si>
  <si>
    <t xml:space="preserve">05.07</t>
  </si>
  <si>
    <t xml:space="preserve">Which EAP methods will be permitted?</t>
  </si>
  <si>
    <t xml:space="preserve">Determines allowed protocols policy and the security baseline.</t>
  </si>
  <si>
    <t xml:space="preserve">EAP-TLS for corporate; PEAP-MSCHAPv2 permitted only for onboarding.</t>
  </si>
  <si>
    <t xml:space="preserve">05.08</t>
  </si>
  <si>
    <t xml:space="preserve">Will machine authentication, user authentication or both be used?</t>
  </si>
  <si>
    <t xml:space="preserve">EAP chaining or TEAP allows both, and changes policy structure significantly.</t>
  </si>
  <si>
    <t xml:space="preserve">Both, using TEAP where supported.</t>
  </si>
  <si>
    <t xml:space="preserve">05.09</t>
  </si>
  <si>
    <t xml:space="preserve">Profiling</t>
  </si>
  <si>
    <t xml:space="preserve">Which profiling probes can realistically be enabled?</t>
  </si>
  <si>
    <t xml:space="preserve">RADIUS is free; DHCP needs a helper change; SNMP needs credentials; HTTP needs redirect; NMAP is intrusive.</t>
  </si>
  <si>
    <t xml:space="preserve">RADIUS and DHCP in phase 1; SNMP where credentials exist.</t>
  </si>
  <si>
    <t xml:space="preserve">05.10</t>
  </si>
  <si>
    <t xml:space="preserve">Are there endpoints with randomised MAC addresses in the estate?</t>
  </si>
  <si>
    <t xml:space="preserve">Randomised MACs break MAB entirely. Increasingly common on phones and laptops.</t>
  </si>
  <si>
    <t xml:space="preserve">Yes on iOS and Android. Corporate devices set to use the hardware address.</t>
  </si>
  <si>
    <t xml:space="preserve">05.11</t>
  </si>
  <si>
    <t xml:space="preserve">Is anomalous endpoint detection required to detect MAC spoofing?</t>
  </si>
  <si>
    <t xml:space="preserve">The compensating control that makes MAB acceptable to an auditor.</t>
  </si>
  <si>
    <t xml:space="preserve">Yes, required by the security team.</t>
  </si>
  <si>
    <t xml:space="preserve">05.12</t>
  </si>
  <si>
    <t xml:space="preserve">Will authorisation depend on device type, and how much confidence is required?</t>
  </si>
  <si>
    <t xml:space="preserve">Profile plus certificate is a real control. Profile plus MAC is a speed bump.</t>
  </si>
  <si>
    <t xml:space="preserve">Yes for IoT segmentation. Profile plus static MAC allow-list.</t>
  </si>
  <si>
    <t xml:space="preserve">05.13</t>
  </si>
  <si>
    <t xml:space="preserve">Mobile</t>
  </si>
  <si>
    <t xml:space="preserve">Is a mobile device management platform in use?</t>
  </si>
  <si>
    <t xml:space="preserve">MDM integration allows compliance to be a condition of network access.</t>
  </si>
  <si>
    <t xml:space="preserve">Microsoft Intune.</t>
  </si>
  <si>
    <t xml:space="preserve">05.14</t>
  </si>
  <si>
    <t xml:space="preserve">Should MDM compliance be enforced as a condition of access?</t>
  </si>
  <si>
    <t xml:space="preserve">Adds a second gate after certificate provisioning and requires CoA.</t>
  </si>
  <si>
    <t xml:space="preserve">Yes, for BYOD only in phase 2.</t>
  </si>
  <si>
    <t xml:space="preserve">05.15</t>
  </si>
  <si>
    <t xml:space="preserve">Guests</t>
  </si>
  <si>
    <t xml:space="preserve">How many guest devices connect on a typical day and at peak?</t>
  </si>
  <si>
    <t xml:space="preserve">Drives guest portal sizing and PSN load.</t>
  </si>
  <si>
    <t xml:space="preserve">Around 150 daily, 600 at conference events.</t>
  </si>
  <si>
    <t xml:space="preserve">Wired 802.1X is where NAC projects most often go wrong. The phased approach exists to prevent an outage during discovery.</t>
  </si>
  <si>
    <t xml:space="preserve">06.01</t>
  </si>
  <si>
    <t xml:space="preserve">Approach</t>
  </si>
  <si>
    <t xml:space="preserve">Is the customer prepared to run monitor mode for several weeks before enforcing?</t>
  </si>
  <si>
    <t xml:space="preserve">Compressing this phase is the single most common cause of rollout failure.</t>
  </si>
  <si>
    <t xml:space="preserve">Yes, agreed six weeks minimum in the pilot area.</t>
  </si>
  <si>
    <t xml:space="preserve">06.02</t>
  </si>
  <si>
    <t xml:space="preserve">Which area will be used for the pilot, and how many ports?</t>
  </si>
  <si>
    <t xml:space="preserve">A representative pilot must include the awkward devices, not just laptops.</t>
  </si>
  <si>
    <t xml:space="preserve">Floor 3, 240 ports, includes printers and IP phones.</t>
  </si>
  <si>
    <t xml:space="preserve">06.03</t>
  </si>
  <si>
    <t xml:space="preserve">What is the target end state — monitor, low impact or closed mode?</t>
  </si>
  <si>
    <t xml:space="preserve">Determines the enforcement ceiling and the design of the pre-auth ACL.</t>
  </si>
  <si>
    <t xml:space="preserve">Closed mode for corporate areas; low impact for shared spaces.</t>
  </si>
  <si>
    <t xml:space="preserve">06.04</t>
  </si>
  <si>
    <t xml:space="preserve">Configuration</t>
  </si>
  <si>
    <t xml:space="preserve">Will IBNS 2.0 with C3PL be used, or legacy authentication commands?</t>
  </si>
  <si>
    <t xml:space="preserve">IBNS 2.0 allows concurrent 802.1X and MAB and differentiated failure handling.</t>
  </si>
  <si>
    <t xml:space="preserve">IBNS 2.0 where the platform supports it.</t>
  </si>
  <si>
    <t xml:space="preserve">06.05</t>
  </si>
  <si>
    <t xml:space="preserve">What host mode is required per port type?</t>
  </si>
  <si>
    <t xml:space="preserve">Single-host, multi-domain, multi-auth or multi-host. Multi-host is a security weakness.</t>
  </si>
  <si>
    <t xml:space="preserve">Multi-domain for desks with phones; multi-auth behind unmanaged switches.</t>
  </si>
  <si>
    <t xml:space="preserve">06.06</t>
  </si>
  <si>
    <t xml:space="preserve">Will MAB be required, and for which device categories?</t>
  </si>
  <si>
    <t xml:space="preserve">MAB is unavoidable for devices without supplicants but must be paired with profiling.</t>
  </si>
  <si>
    <t xml:space="preserve">Yes, for printers, cameras and building systems.</t>
  </si>
  <si>
    <t xml:space="preserve">06.07</t>
  </si>
  <si>
    <t xml:space="preserve">What should happen when authentication fails?</t>
  </si>
  <si>
    <t xml:space="preserve">Determines the auth-fail VLAN or restricted authorisation profile.</t>
  </si>
  <si>
    <t xml:space="preserve">Restricted VLAN with internet only and a remediation page.</t>
  </si>
  <si>
    <t xml:space="preserve">06.08</t>
  </si>
  <si>
    <t xml:space="preserve">What should happen when a device does not respond to 802.1X at all?</t>
  </si>
  <si>
    <t xml:space="preserve">Determines the guest VLAN and MAB fallback timing.</t>
  </si>
  <si>
    <t xml:space="preserve">Fall through to MAB, then to a restricted VLAN.</t>
  </si>
  <si>
    <t xml:space="preserve">06.09</t>
  </si>
  <si>
    <t xml:space="preserve">What should happen when all RADIUS servers are unreachable?</t>
  </si>
  <si>
    <t xml:space="preserve">Critical Auth VLAN and Critical MAB. Without these, an ISE outage is a site outage.</t>
  </si>
  <si>
    <t xml:space="preserve">Critical VLAN with existing access retained; ports remain up.</t>
  </si>
  <si>
    <t xml:space="preserve">06.10</t>
  </si>
  <si>
    <t xml:space="preserve">Will critical authentication behaviour be tested deliberately before go-live?</t>
  </si>
  <si>
    <t xml:space="preserve">Discovering the critical ACL does not work during an outage is the worst case.</t>
  </si>
  <si>
    <t xml:space="preserve">Yes, planned as part of pilot acceptance testing.</t>
  </si>
  <si>
    <t xml:space="preserve">06.11</t>
  </si>
  <si>
    <t xml:space="preserve">Authorisation</t>
  </si>
  <si>
    <t xml:space="preserve">Will VLAN assignment, dACLs, SGTs or a combination be used?</t>
  </si>
  <si>
    <t xml:space="preserve">Determines authorisation profile design and switch capability requirements.</t>
  </si>
  <si>
    <t xml:space="preserve">dACLs in phase 1; SGTs in phase 3.</t>
  </si>
  <si>
    <t xml:space="preserve">06.12</t>
  </si>
  <si>
    <t xml:space="preserve">How many distinct access levels are needed on the wired network?</t>
  </si>
  <si>
    <t xml:space="preserve">Too many roles produce an unmaintainable policy set.</t>
  </si>
  <si>
    <t xml:space="preserve">Four: corporate, contractor, IoT, quarantine.</t>
  </si>
  <si>
    <t xml:space="preserve">06.13</t>
  </si>
  <si>
    <t xml:space="preserve">Who will handle the increase in helpdesk calls during rollout?</t>
  </si>
  <si>
    <t xml:space="preserve">Enforcement generates tickets. Unprepared service desks escalate to project failure.</t>
  </si>
  <si>
    <t xml:space="preserve">Service desk briefed; a dedicated escalation path for two weeks per floor.</t>
  </si>
  <si>
    <t xml:space="preserve">06.14</t>
  </si>
  <si>
    <t xml:space="preserve">What is the rollback procedure for a single switch, and how long does it take?</t>
  </si>
  <si>
    <t xml:space="preserve">Every enforcement step needs a defined and tested reversal.</t>
  </si>
  <si>
    <t xml:space="preserve">Template revert via automation, under 5 minutes per switch.</t>
  </si>
  <si>
    <t xml:space="preserve">Wireless is usually the easiest place to start because the supplicant is already configured on most devices.</t>
  </si>
  <si>
    <t xml:space="preserve">07.01</t>
  </si>
  <si>
    <t xml:space="preserve">SSID</t>
  </si>
  <si>
    <t xml:space="preserve">What is the target SSID design after ISE deployment?</t>
  </si>
  <si>
    <t xml:space="preserve">Determines whether single or dual SSID onboarding is used and how many WLANs are needed.</t>
  </si>
  <si>
    <t xml:space="preserve">Corporate (EAP-TLS), Guest (CWA), IoT (PSK with MAB).</t>
  </si>
  <si>
    <t xml:space="preserve">07.02</t>
  </si>
  <si>
    <t xml:space="preserve">Will the corporate SSID use EAP-TLS, PEAP or TEAP?</t>
  </si>
  <si>
    <t xml:space="preserve">Determines certificate requirements and onboarding complexity.</t>
  </si>
  <si>
    <t xml:space="preserve">EAP-TLS for managed devices; TEAP where supported.</t>
  </si>
  <si>
    <t xml:space="preserve">07.03</t>
  </si>
  <si>
    <t xml:space="preserve">Is AAA override enabled on the wireless controllers?</t>
  </si>
  <si>
    <t xml:space="preserve">Required for ISE to return VLAN, ACL or SGT attributes.</t>
  </si>
  <si>
    <t xml:space="preserve">Not currently enabled. Change required.</t>
  </si>
  <si>
    <t xml:space="preserve">07.04</t>
  </si>
  <si>
    <t xml:space="preserve">Is RADIUS NAC or Change of Authorization enabled per WLAN?</t>
  </si>
  <si>
    <t xml:space="preserve">Required for CWA, posture and any policy that changes access after connection.</t>
  </si>
  <si>
    <t xml:space="preserve">Must be enabled on the guest and corporate WLANs.</t>
  </si>
  <si>
    <t xml:space="preserve">07.05</t>
  </si>
  <si>
    <t xml:space="preserve">Are RADIUS accounting and interim updates enabled?</t>
  </si>
  <si>
    <t xml:space="preserve">Accounting drives session tracking, and interim updates keep the session table accurate.</t>
  </si>
  <si>
    <t xml:space="preserve">Accounting enabled; interim updates not configured.</t>
  </si>
  <si>
    <t xml:space="preserve">07.06</t>
  </si>
  <si>
    <t xml:space="preserve">FlexConnect</t>
  </si>
  <si>
    <t xml:space="preserve">For FlexConnect sites, will authentication be central or local?</t>
  </si>
  <si>
    <t xml:space="preserve">Central switching keeps policy simple; local switching complicates CoA and ACLs.</t>
  </si>
  <si>
    <t xml:space="preserve">Central authentication, local switching at retail sites.</t>
  </si>
  <si>
    <t xml:space="preserve">07.07</t>
  </si>
  <si>
    <t xml:space="preserve">Are FlexConnect ACLs pre-provisioned on the access points?</t>
  </si>
  <si>
    <t xml:space="preserve">Redirect ACLs must exist locally at the AP for FlexConnect local switching.</t>
  </si>
  <si>
    <t xml:space="preserve">Not yet configured.</t>
  </si>
  <si>
    <t xml:space="preserve">07.08</t>
  </si>
  <si>
    <t xml:space="preserve">Coverage</t>
  </si>
  <si>
    <t xml:space="preserve">Are there any areas with poor coverage where re-authentication may fail?</t>
  </si>
  <si>
    <t xml:space="preserve">Roaming and re-authentication problems are often blamed on ISE.</t>
  </si>
  <si>
    <t xml:space="preserve">Two warehouse areas known to be marginal.</t>
  </si>
  <si>
    <t xml:space="preserve">07.09</t>
  </si>
  <si>
    <t xml:space="preserve">Roaming</t>
  </si>
  <si>
    <t xml:space="preserve">Is fast roaming (802.11r, OKC or 802.11k/v) enabled?</t>
  </si>
  <si>
    <t xml:space="preserve">Affects re-authentication frequency and user experience.</t>
  </si>
  <si>
    <t xml:space="preserve">802.11r enabled on the corporate SSID.</t>
  </si>
  <si>
    <t xml:space="preserve">07.10</t>
  </si>
  <si>
    <t xml:space="preserve">IoT</t>
  </si>
  <si>
    <t xml:space="preserve">Are there wireless IoT devices that cannot support 802.1X?</t>
  </si>
  <si>
    <t xml:space="preserve">Drives PSK, iPSK or MAB design on a separate SSID.</t>
  </si>
  <si>
    <t xml:space="preserve">Yes, barcode scanners and label printers.</t>
  </si>
  <si>
    <t xml:space="preserve">Remote access is frequently added to ISE scope after the initial deployment. Establishing the requirement early avoids redesign.</t>
  </si>
  <si>
    <t xml:space="preserve">08.01</t>
  </si>
  <si>
    <t xml:space="preserve">Is VPN authentication in scope for ISE?</t>
  </si>
  <si>
    <t xml:space="preserve">Determines whether the VPN headend must be integrated as a network device.</t>
  </si>
  <si>
    <t xml:space="preserve">Yes, phase 2.</t>
  </si>
  <si>
    <t xml:space="preserve">08.02</t>
  </si>
  <si>
    <t xml:space="preserve">Platform</t>
  </si>
  <si>
    <t xml:space="preserve">What VPN platform is in use, and which version?</t>
  </si>
  <si>
    <t xml:space="preserve">Determines RADIUS attribute support, posture capability and CoA behaviour.</t>
  </si>
  <si>
    <t xml:space="preserve">Cisco Secure Firewall with Secure Client.</t>
  </si>
  <si>
    <t xml:space="preserve">08.03</t>
  </si>
  <si>
    <t xml:space="preserve">Authentication</t>
  </si>
  <si>
    <t xml:space="preserve">What authentication method will remote users use?</t>
  </si>
  <si>
    <t xml:space="preserve">Certificate, password, MFA or a combination.</t>
  </si>
  <si>
    <t xml:space="preserve">Certificate plus Duo push.</t>
  </si>
  <si>
    <t xml:space="preserve">08.04</t>
  </si>
  <si>
    <t xml:space="preserve">Posture</t>
  </si>
  <si>
    <t xml:space="preserve">Should posture assessment apply to VPN sessions?</t>
  </si>
  <si>
    <t xml:space="preserve">Common requirement, and it depends on CoA reaching the VPN headend.</t>
  </si>
  <si>
    <t xml:space="preserve">Yes, same policy as internal.</t>
  </si>
  <si>
    <t xml:space="preserve">08.05</t>
  </si>
  <si>
    <t xml:space="preserve">Should remote users receive different access from on-premises users?</t>
  </si>
  <si>
    <t xml:space="preserve">Determines whether the authorisation policy needs a network access location condition.</t>
  </si>
  <si>
    <t xml:space="preserve">Yes, remote access is more restricted.</t>
  </si>
  <si>
    <t xml:space="preserve">08.06</t>
  </si>
  <si>
    <t xml:space="preserve">Split tunnel</t>
  </si>
  <si>
    <t xml:space="preserve">Is split tunnelling used, and does it affect posture or profiling?</t>
  </si>
  <si>
    <t xml:space="preserve">Split tunnelling can prevent posture traffic from reaching ISE.</t>
  </si>
  <si>
    <t xml:space="preserve">Split tunnel in use. Posture endpoints must be included in the tunnel.</t>
  </si>
  <si>
    <t xml:space="preserve">Guest access is the most visible ISE feature and the one most likely to create risk if designed casually.</t>
  </si>
  <si>
    <t xml:space="preserve">09.01</t>
  </si>
  <si>
    <t xml:space="preserve">Model</t>
  </si>
  <si>
    <t xml:space="preserve">Which guest flow is required — hotspot, self-registration or sponsored?</t>
  </si>
  <si>
    <t xml:space="preserve">Determines the level of accountability and the administrative burden.</t>
  </si>
  <si>
    <t xml:space="preserve">Sponsored for visitors; hotspot in the public lobby.</t>
  </si>
  <si>
    <t xml:space="preserve">09.02</t>
  </si>
  <si>
    <t xml:space="preserve">If self-registration, is sponsor approval required before access is granted?</t>
  </si>
  <si>
    <t xml:space="preserve">Closes most of the accountability gap at the cost of a wait.</t>
  </si>
  <si>
    <t xml:space="preserve">Yes, approval by the meeting host.</t>
  </si>
  <si>
    <t xml:space="preserve">09.03</t>
  </si>
  <si>
    <t xml:space="preserve">How will guest credentials be delivered?</t>
  </si>
  <si>
    <t xml:space="preserve">SMS, email or printed. SMS proves control of a phone number.</t>
  </si>
  <si>
    <t xml:space="preserve">SMS.</t>
  </si>
  <si>
    <t xml:space="preserve">09.04</t>
  </si>
  <si>
    <t xml:space="preserve">Accountability</t>
  </si>
  <si>
    <t xml:space="preserve">What identity information must be captured about each guest?</t>
  </si>
  <si>
    <t xml:space="preserve">Determines portal fields and what an investigation can later establish.</t>
  </si>
  <si>
    <t xml:space="preserve">Name, company, host employee, mobile number.</t>
  </si>
  <si>
    <t xml:space="preserve">09.05</t>
  </si>
  <si>
    <t xml:space="preserve">How long must guest access records be retained?</t>
  </si>
  <si>
    <t xml:space="preserve">Drives MnT retention and any external logging requirement.</t>
  </si>
  <si>
    <t xml:space="preserve">12 months.</t>
  </si>
  <si>
    <t xml:space="preserve">09.06</t>
  </si>
  <si>
    <t xml:space="preserve">Where does guest traffic go, and can it reach any internal resource?</t>
  </si>
  <si>
    <t xml:space="preserve">The only safe answer is straight to the internet on an isolated VLAN.</t>
  </si>
  <si>
    <t xml:space="preserve">Isolated VLAN, internet only, no internal access.</t>
  </si>
  <si>
    <t xml:space="preserve">09.07</t>
  </si>
  <si>
    <t xml:space="preserve">Is guest bandwidth rate limited?</t>
  </si>
  <si>
    <t xml:space="preserve">Without a cap, one guest can degrade corporate wireless.</t>
  </si>
  <si>
    <t xml:space="preserve">Yes, 5 Mbps per user.</t>
  </si>
  <si>
    <t xml:space="preserve">09.08</t>
  </si>
  <si>
    <t xml:space="preserve">Lifecycle</t>
  </si>
  <si>
    <t xml:space="preserve">What is the default guest account lifetime?</t>
  </si>
  <si>
    <t xml:space="preserve">Expired accounts left enabled are standing credentials nobody watches.</t>
  </si>
  <si>
    <t xml:space="preserve">8 hours, extendable to 5 days by a sponsor.</t>
  </si>
  <si>
    <t xml:space="preserve">09.09</t>
  </si>
  <si>
    <t xml:space="preserve">Sponsors</t>
  </si>
  <si>
    <t xml:space="preserve">Who is permitted to sponsor guests, and how is that controlled?</t>
  </si>
  <si>
    <t xml:space="preserve">Granting sponsor rights to everyone is the common drift.</t>
  </si>
  <si>
    <t xml:space="preserve">Reception and all managers, via an AD group.</t>
  </si>
  <si>
    <t xml:space="preserve">09.10</t>
  </si>
  <si>
    <t xml:space="preserve">Portal</t>
  </si>
  <si>
    <t xml:space="preserve">Is a branded portal required, and who provides the assets?</t>
  </si>
  <si>
    <t xml:space="preserve">Branding work is frequently underestimated and blocks go-live.</t>
  </si>
  <si>
    <t xml:space="preserve">Yes. Marketing to provide logo and colours.</t>
  </si>
  <si>
    <t xml:space="preserve">09.11</t>
  </si>
  <si>
    <t xml:space="preserve">What is the portal FQDN, and will it resolve on public DNS?</t>
  </si>
  <si>
    <t xml:space="preserve">Guests often use public resolvers. An internal-only name breaks the portal.</t>
  </si>
  <si>
    <t xml:space="preserve">guest.example.com, public DNS record required.</t>
  </si>
  <si>
    <t xml:space="preserve">09.12</t>
  </si>
  <si>
    <t xml:space="preserve">Will a publicly trusted certificate be used for the portal?</t>
  </si>
  <si>
    <t xml:space="preserve">An internal certificate produces a browser warning for every guest.</t>
  </si>
  <si>
    <t xml:space="preserve">Yes, public CA certificate.</t>
  </si>
  <si>
    <t xml:space="preserve">09.13</t>
  </si>
  <si>
    <t xml:space="preserve">Legal</t>
  </si>
  <si>
    <t xml:space="preserve">Is an acceptable use policy required, and who owns its content?</t>
  </si>
  <si>
    <t xml:space="preserve">Must be current to be enforceable.</t>
  </si>
  <si>
    <t xml:space="preserve">Yes, legal team to provide updated text.</t>
  </si>
  <si>
    <t xml:space="preserve">BYOD onboarding removes corporate passwords from unmanaged devices. It also crosses more moving parts than any other ISE feature.</t>
  </si>
  <si>
    <t xml:space="preserve">10.01</t>
  </si>
  <si>
    <t xml:space="preserve">Is BYOD onboarding in scope, and for which user populations?</t>
  </si>
  <si>
    <t xml:space="preserve">Determines whether the certificate authority and portal work is needed at all.</t>
  </si>
  <si>
    <t xml:space="preserve">Yes, for all staff, personal mobile devices only.</t>
  </si>
  <si>
    <t xml:space="preserve">10.02</t>
  </si>
  <si>
    <t xml:space="preserve">Single SSID or dual SSID onboarding?</t>
  </si>
  <si>
    <t xml:space="preserve">Single SSID is a better user experience; dual SSID gives a harder security boundary.</t>
  </si>
  <si>
    <t xml:space="preserve">Single SSID, accepting PEAP as a provisioning path only.</t>
  </si>
  <si>
    <t xml:space="preserve">10.03</t>
  </si>
  <si>
    <t xml:space="preserve">Devices</t>
  </si>
  <si>
    <t xml:space="preserve">Which operating systems must be supported for onboarding?</t>
  </si>
  <si>
    <t xml:space="preserve">Windows pushes a wizard, iOS uses the native browser, Android downloads an app from the internet.</t>
  </si>
  <si>
    <t xml:space="preserve">Windows, macOS, iOS and Android.</t>
  </si>
  <si>
    <t xml:space="preserve">10.04</t>
  </si>
  <si>
    <t xml:space="preserve">Will the provisioning network permit access to public app stores?</t>
  </si>
  <si>
    <t xml:space="preserve">Android onboarding fails without Google Play access, and the failure is not obvious.</t>
  </si>
  <si>
    <t xml:space="preserve">Not currently. ACL change required.</t>
  </si>
  <si>
    <t xml:space="preserve">10.05</t>
  </si>
  <si>
    <t xml:space="preserve">Will the ISE internal CA or an external CA issue device certificates?</t>
  </si>
  <si>
    <t xml:space="preserve">Internal CA is designed for this and manages the lifecycle; external adds an integration.</t>
  </si>
  <si>
    <t xml:space="preserve">ISE internal CA.</t>
  </si>
  <si>
    <t xml:space="preserve">10.06</t>
  </si>
  <si>
    <t xml:space="preserve">What certificate lifetime is required for BYOD devices?</t>
  </si>
  <si>
    <t xml:space="preserve">Shorter lifetimes reduce risk but increase re-enrolment friction.</t>
  </si>
  <si>
    <t xml:space="preserve">One year.</t>
  </si>
  <si>
    <t xml:space="preserve">10.07</t>
  </si>
  <si>
    <t xml:space="preserve">Limits</t>
  </si>
  <si>
    <t xml:space="preserve">How many devices may a single user register?</t>
  </si>
  <si>
    <t xml:space="preserve">Prevents unbounded growth of the endpoint database.</t>
  </si>
  <si>
    <t xml:space="preserve">Three devices per user.</t>
  </si>
  <si>
    <t xml:space="preserve">10.08</t>
  </si>
  <si>
    <t xml:space="preserve">How will a device be de-registered when a user leaves?</t>
  </si>
  <si>
    <t xml:space="preserve">Without revocation, an issued certificate outlives employment.</t>
  </si>
  <si>
    <t xml:space="preserve">Certificate revocation triggered from the leaver process.</t>
  </si>
  <si>
    <t xml:space="preserve">10.09</t>
  </si>
  <si>
    <t xml:space="preserve">Access</t>
  </si>
  <si>
    <t xml:space="preserve">What access will a BYOD device receive compared with a corporate device?</t>
  </si>
  <si>
    <t xml:space="preserve">BYOD should almost never receive the same access as a managed device.</t>
  </si>
  <si>
    <t xml:space="preserve">Internet and Office 365 only. No internal resources.</t>
  </si>
  <si>
    <t xml:space="preserve">10.10</t>
  </si>
  <si>
    <t xml:space="preserve">MDM</t>
  </si>
  <si>
    <t xml:space="preserve">Must a BYOD device be enrolled in MDM before receiving full access?</t>
  </si>
  <si>
    <t xml:space="preserve">Adds a second gate after certificate provisioning.</t>
  </si>
  <si>
    <t xml:space="preserve">Yes, Intune enrolment required.</t>
  </si>
  <si>
    <t xml:space="preserve">Posture turns network access from a question of identity into a question of hygiene. The design of the non-compliant state determines whether people can live with it.</t>
  </si>
  <si>
    <t xml:space="preserve">11.01</t>
  </si>
  <si>
    <t xml:space="preserve">Is posture assessment in scope, and for which endpoints?</t>
  </si>
  <si>
    <t xml:space="preserve">Posture applies to managed endpoints where an agent can be deployed.</t>
  </si>
  <si>
    <t xml:space="preserve">Corporate Windows and macOS only.</t>
  </si>
  <si>
    <t xml:space="preserve">11.02</t>
  </si>
  <si>
    <t xml:space="preserve">Checks</t>
  </si>
  <si>
    <t xml:space="preserve">Which compliance conditions must be checked?</t>
  </si>
  <si>
    <t xml:space="preserve">Every additional check is another way for a legitimate endpoint to be blocked.</t>
  </si>
  <si>
    <t xml:space="preserve">Antivirus running and current, disk encryption enabled, OS patch level.</t>
  </si>
  <si>
    <t xml:space="preserve">11.03</t>
  </si>
  <si>
    <t xml:space="preserve">What is the current estate compliance rate against those conditions?</t>
  </si>
  <si>
    <t xml:space="preserve">If 40 percent fail, you have a patching problem before you have a posture policy.</t>
  </si>
  <si>
    <t xml:space="preserve">Unknown. Audit mode required first.</t>
  </si>
  <si>
    <t xml:space="preserve">11.04</t>
  </si>
  <si>
    <t xml:space="preserve">Agent</t>
  </si>
  <si>
    <t xml:space="preserve">Persistent agent (Secure Client ISE Posture module) or temporal agent?</t>
  </si>
  <si>
    <t xml:space="preserve">Persistent for managed endpoints; temporal for unmanaged or contractor devices.</t>
  </si>
  <si>
    <t xml:space="preserve">Persistent, deployed via Intune.</t>
  </si>
  <si>
    <t xml:space="preserve">11.05</t>
  </si>
  <si>
    <t xml:space="preserve">How will the agent be deployed — software distribution or the provisioning portal?</t>
  </si>
  <si>
    <t xml:space="preserve">Portal provisioning requires user rights that a locked-down build may not grant.</t>
  </si>
  <si>
    <t xml:space="preserve">Intune, pushed in advance.</t>
  </si>
  <si>
    <t xml:space="preserve">11.06</t>
  </si>
  <si>
    <t xml:space="preserve">Remediation</t>
  </si>
  <si>
    <t xml:space="preserve">What access will a non-compliant endpoint receive?</t>
  </si>
  <si>
    <t xml:space="preserve">It must be able to reach whatever fixes it, or it can never become compliant.</t>
  </si>
  <si>
    <t xml:space="preserve">Access to WSUS, antivirus update servers and the service desk portal.</t>
  </si>
  <si>
    <t xml:space="preserve">11.07</t>
  </si>
  <si>
    <t xml:space="preserve">What message will the user see, and is it actionable?</t>
  </si>
  <si>
    <t xml:space="preserve">The message is the entire user experience of posture.</t>
  </si>
  <si>
    <t xml:space="preserve">Named failure and a one-click remediation link.</t>
  </si>
  <si>
    <t xml:space="preserve">11.08</t>
  </si>
  <si>
    <t xml:space="preserve">Timing</t>
  </si>
  <si>
    <t xml:space="preserve">How often must posture be re-assessed?</t>
  </si>
  <si>
    <t xml:space="preserve">Too short is disruptive; too long means a device out of compliance keeps access.</t>
  </si>
  <si>
    <t xml:space="preserve">Every 8 hours, and on every new connection.</t>
  </si>
  <si>
    <t xml:space="preserve">11.09</t>
  </si>
  <si>
    <t xml:space="preserve">Exceptions</t>
  </si>
  <si>
    <t xml:space="preserve">What is the exception process for devices that cannot comply?</t>
  </si>
  <si>
    <t xml:space="preserve">There will be one. Better documented and time-limited than undocumented.</t>
  </si>
  <si>
    <t xml:space="preserve">Security exception with an expiry date, approved by the CISO.</t>
  </si>
  <si>
    <t xml:space="preserve">11.10</t>
  </si>
  <si>
    <t xml:space="preserve">Rollout</t>
  </si>
  <si>
    <t xml:space="preserve">Will posture run in audit mode before enforcement, and for how long?</t>
  </si>
  <si>
    <t xml:space="preserve">Audit mode reveals the real failure rate without blocking anyone.</t>
  </si>
  <si>
    <t xml:space="preserve">Yes, eight weeks minimum.</t>
  </si>
  <si>
    <t xml:space="preserve">TrustSec decouples policy from IP addressing. Classification is free and reversible; propagation is where the difficulty lives.</t>
  </si>
  <si>
    <t xml:space="preserve">12.01</t>
  </si>
  <si>
    <t xml:space="preserve">Is TrustSec or group-based segmentation in scope?</t>
  </si>
  <si>
    <t xml:space="preserve">Determines whether SGT design and propagation planning are needed.</t>
  </si>
  <si>
    <t xml:space="preserve">Yes, phase 3.</t>
  </si>
  <si>
    <t xml:space="preserve">12.02</t>
  </si>
  <si>
    <t xml:space="preserve">What is the segmentation requirement in business terms?</t>
  </si>
  <si>
    <t xml:space="preserve">Segmentation without a stated intent produces an unmaintainable matrix.</t>
  </si>
  <si>
    <t xml:space="preserve">Contractors must not reach finance systems; IoT must not reach anything but its controller.</t>
  </si>
  <si>
    <t xml:space="preserve">12.03</t>
  </si>
  <si>
    <t xml:space="preserve">Design</t>
  </si>
  <si>
    <t xml:space="preserve">How many security groups are anticipated?</t>
  </si>
  <si>
    <t xml:space="preserve">The matrix grows quadratically. Start with a handful of broad roles.</t>
  </si>
  <si>
    <t xml:space="preserve">Six to start: Employee, Contractor, IoT, Voice, Server, Quarantine.</t>
  </si>
  <si>
    <t xml:space="preserve">12.04</t>
  </si>
  <si>
    <t xml:space="preserve">Propagation</t>
  </si>
  <si>
    <t xml:space="preserve">Does the network hardware support inline tagging end to end?</t>
  </si>
  <si>
    <t xml:space="preserve">Mixed estates usually require SXP to bridge unsupported segments.</t>
  </si>
  <si>
    <t xml:space="preserve">Catalyst 9000 yes; older access switches no. SXP required.</t>
  </si>
  <si>
    <t xml:space="preserve">12.05</t>
  </si>
  <si>
    <t xml:space="preserve">Where will enforcement take place — access layer, data centre or firewall?</t>
  </si>
  <si>
    <t xml:space="preserve">Determines where the policy matrix is pushed and how much traffic traverses before being dropped.</t>
  </si>
  <si>
    <t xml:space="preserve">Data centre switches and the perimeter firewall.</t>
  </si>
  <si>
    <t xml:space="preserve">12.06</t>
  </si>
  <si>
    <t xml:space="preserve">Static</t>
  </si>
  <si>
    <t xml:space="preserve">How will servers and non-authenticating devices be assigned an SGT?</t>
  </si>
  <si>
    <t xml:space="preserve">Static IP-to-SGT mappings, which must be maintained as addressing changes.</t>
  </si>
  <si>
    <t xml:space="preserve">Subnet-based static mappings pushed from ISE.</t>
  </si>
  <si>
    <t xml:space="preserve">12.07</t>
  </si>
  <si>
    <t xml:space="preserve">Integration</t>
  </si>
  <si>
    <t xml:space="preserve">Will firewalls consume SGT information?</t>
  </si>
  <si>
    <t xml:space="preserve">Allows firewall rules written against roles instead of subnets.</t>
  </si>
  <si>
    <t xml:space="preserve">Yes, Cisco Secure Firewall via pxGrid.</t>
  </si>
  <si>
    <t xml:space="preserve">12.08</t>
  </si>
  <si>
    <t xml:space="preserve">Will classification run without enforcement first?</t>
  </si>
  <si>
    <t xml:space="preserve">Assigning tags with no enforcement is free, reversible and gives visibility.</t>
  </si>
  <si>
    <t xml:space="preserve">Yes, three months of classification only.</t>
  </si>
  <si>
    <t xml:space="preserve">Device administration is often the fastest ISE win — it is low risk, high value, and touches no endpoints.</t>
  </si>
  <si>
    <t xml:space="preserve">13.01</t>
  </si>
  <si>
    <t xml:space="preserve">Is TACACS+ device administration in scope?</t>
  </si>
  <si>
    <t xml:space="preserve">Requires a separate Device Administration licence.</t>
  </si>
  <si>
    <t xml:space="preserve">Yes, phase 1. Replacing ACS.</t>
  </si>
  <si>
    <t xml:space="preserve">13.02</t>
  </si>
  <si>
    <t xml:space="preserve">How many network devices will use TACACS+?</t>
  </si>
  <si>
    <t xml:space="preserve">Drives licence count and policy design.</t>
  </si>
  <si>
    <t xml:space="preserve">Approximately 640 devices.</t>
  </si>
  <si>
    <t xml:space="preserve">13.03</t>
  </si>
  <si>
    <t xml:space="preserve">What device types and vendors must be supported?</t>
  </si>
  <si>
    <t xml:space="preserve">Non-Cisco devices require custom shell profiles and command sets.</t>
  </si>
  <si>
    <t xml:space="preserve">Cisco IOS-XE, NX-OS, ASA; Palo Alto and F5.</t>
  </si>
  <si>
    <t xml:space="preserve">13.04</t>
  </si>
  <si>
    <t xml:space="preserve">Roles</t>
  </si>
  <si>
    <t xml:space="preserve">What administrative roles exist, and what may each role do?</t>
  </si>
  <si>
    <t xml:space="preserve">Drives shell profiles, privilege levels and command sets.</t>
  </si>
  <si>
    <t xml:space="preserve">Read-only, network operator, network engineer, security admin.</t>
  </si>
  <si>
    <t xml:space="preserve">13.05</t>
  </si>
  <si>
    <t xml:space="preserve">Is command authorisation required, or only authentication and accounting?</t>
  </si>
  <si>
    <t xml:space="preserve">Command authorisation is significantly more work to design and maintain.</t>
  </si>
  <si>
    <t xml:space="preserve">Command authorisation for the operator role only.</t>
  </si>
  <si>
    <t xml:space="preserve">13.06</t>
  </si>
  <si>
    <t xml:space="preserve">Accounting</t>
  </si>
  <si>
    <t xml:space="preserve">What command accounting and retention is required?</t>
  </si>
  <si>
    <t xml:space="preserve">Frequently an audit requirement, and it drives MnT sizing.</t>
  </si>
  <si>
    <t xml:space="preserve">All commands logged, retained 13 months.</t>
  </si>
  <si>
    <t xml:space="preserve">13.07</t>
  </si>
  <si>
    <t xml:space="preserve">Is MFA required for administrative access to network devices?</t>
  </si>
  <si>
    <t xml:space="preserve">Common requirement following audit findings.</t>
  </si>
  <si>
    <t xml:space="preserve">Yes, Duo push.</t>
  </si>
  <si>
    <t xml:space="preserve">13.08</t>
  </si>
  <si>
    <t xml:space="preserve">Fallback</t>
  </si>
  <si>
    <t xml:space="preserve">What is the fallback if ISE is unreachable — local accounts or line password?</t>
  </si>
  <si>
    <t xml:space="preserve">Losing administrative access to the network during an ISE outage is a serious risk.</t>
  </si>
  <si>
    <t xml:space="preserve">Local account on every device, credentials in the password vault.</t>
  </si>
  <si>
    <t xml:space="preserve">13.09</t>
  </si>
  <si>
    <t xml:space="preserve">Migration</t>
  </si>
  <si>
    <t xml:space="preserve">If migrating from ACS, can existing policy be exported and translated?</t>
  </si>
  <si>
    <t xml:space="preserve">Determines migration effort and whether a clean rebuild is preferable.</t>
  </si>
  <si>
    <t xml:space="preserve">ACS 5.8 export available; a clean rebuild is preferred.</t>
  </si>
  <si>
    <t xml:space="preserve">13.10</t>
  </si>
  <si>
    <t xml:space="preserve">TLS</t>
  </si>
  <si>
    <t xml:space="preserve">Is TACACS over TLS required?</t>
  </si>
  <si>
    <t xml:space="preserve">Supported from ISE 3.5 and increasingly requested for compliance.</t>
  </si>
  <si>
    <t xml:space="preserve">Desirable but not mandatory in phase 1.</t>
  </si>
  <si>
    <t xml:space="preserve">Certificate problems are the single largest category of ISE failures. Establishing the PKI position early prevents most of them.</t>
  </si>
  <si>
    <t xml:space="preserve">14.01</t>
  </si>
  <si>
    <t xml:space="preserve">PKI</t>
  </si>
  <si>
    <t xml:space="preserve">Is there an existing internal PKI, and what is its hierarchy?</t>
  </si>
  <si>
    <t xml:space="preserve">Determines whether ISE can use an existing CA or needs one built.</t>
  </si>
  <si>
    <t xml:space="preserve">Two-tier Microsoft PKI, offline root.</t>
  </si>
  <si>
    <t xml:space="preserve">14.02</t>
  </si>
  <si>
    <t xml:space="preserve">Who owns certificate issuance and renewal, and what is the lead time?</t>
  </si>
  <si>
    <t xml:space="preserve">Certificate requests frequently block ISE deployments for weeks.</t>
  </si>
  <si>
    <t xml:space="preserve">PKI team, five working day SLA.</t>
  </si>
  <si>
    <t xml:space="preserve">14.03</t>
  </si>
  <si>
    <t xml:space="preserve">EAP</t>
  </si>
  <si>
    <t xml:space="preserve">Which certificate will ISE present for EAP authentication?</t>
  </si>
  <si>
    <t xml:space="preserve">Endpoints must trust the issuing CA. This is the most common EAP-TLS failure.</t>
  </si>
  <si>
    <t xml:space="preserve">Internal CA issued, SAN includes all PSN FQDNs.</t>
  </si>
  <si>
    <t xml:space="preserve">14.04</t>
  </si>
  <si>
    <t xml:space="preserve">Is the issuing CA present and trusted on all endpoint types?</t>
  </si>
  <si>
    <t xml:space="preserve">Devices not joined to the domain will not have the internal root by default.</t>
  </si>
  <si>
    <t xml:space="preserve">Yes on domain-joined; must be pushed to macOS and mobile.</t>
  </si>
  <si>
    <t xml:space="preserve">14.05</t>
  </si>
  <si>
    <t xml:space="preserve">Will portals use a publicly trusted certificate?</t>
  </si>
  <si>
    <t xml:space="preserve">Internal certificates produce browser warnings for guests and BYOD users.</t>
  </si>
  <si>
    <t xml:space="preserve">Yes, public CA wildcard.</t>
  </si>
  <si>
    <t xml:space="preserve">14.06</t>
  </si>
  <si>
    <t xml:space="preserve">Admin</t>
  </si>
  <si>
    <t xml:space="preserve">What certificate will secure the ISE admin interface?</t>
  </si>
  <si>
    <t xml:space="preserve">Affects browser trust for administrators.</t>
  </si>
  <si>
    <t xml:space="preserve">Internal CA issued.</t>
  </si>
  <si>
    <t xml:space="preserve">14.07</t>
  </si>
  <si>
    <t xml:space="preserve">Revocation</t>
  </si>
  <si>
    <t xml:space="preserve">How will certificate revocation be checked — CRL or OCSP?</t>
  </si>
  <si>
    <t xml:space="preserve">Endpoints must be able to reach the revocation endpoint, including through pre-auth ACLs.</t>
  </si>
  <si>
    <t xml:space="preserve">OCSP, internally published.</t>
  </si>
  <si>
    <t xml:space="preserve">14.08</t>
  </si>
  <si>
    <t xml:space="preserve">What are the certificate lifetimes, and who tracks expiry?</t>
  </si>
  <si>
    <t xml:space="preserve">Expired certificates are the most common cause of sudden, total authentication failure.</t>
  </si>
  <si>
    <t xml:space="preserve">Two years for system certificates. Tracked in the PKI team calendar.</t>
  </si>
  <si>
    <t xml:space="preserve">14.09</t>
  </si>
  <si>
    <t xml:space="preserve">Internal CA</t>
  </si>
  <si>
    <t xml:space="preserve">Will the ISE internal CA be used for BYOD, and has the key been backed up?</t>
  </si>
  <si>
    <t xml:space="preserve">The internal CA key must be exported before any upgrade or rebuild.</t>
  </si>
  <si>
    <t xml:space="preserve">Yes for BYOD. Export procedure to be documented.</t>
  </si>
  <si>
    <t xml:space="preserve">14.10</t>
  </si>
  <si>
    <t xml:space="preserve">Trust</t>
  </si>
  <si>
    <t xml:space="preserve">Which external CAs must be present in the ISE trust store?</t>
  </si>
  <si>
    <t xml:space="preserve">Missing intermediates cause failures that look identical to expired certificates.</t>
  </si>
  <si>
    <t xml:space="preserve">Public CA chain, plus a partner CA for one integration.</t>
  </si>
  <si>
    <t xml:space="preserve">pxGrid turns ISE from an access control product into the identity source for the wider security stack.</t>
  </si>
  <si>
    <t xml:space="preserve">15.01</t>
  </si>
  <si>
    <t xml:space="preserve">Which products must consume identity context from ISE?</t>
  </si>
  <si>
    <t xml:space="preserve">Each integration is a certificate exchange and an ongoing dependency.</t>
  </si>
  <si>
    <t xml:space="preserve">Firepower Management Center and Secure Network Analytics.</t>
  </si>
  <si>
    <t xml:space="preserve">15.02</t>
  </si>
  <si>
    <t xml:space="preserve">pxGrid</t>
  </si>
  <si>
    <t xml:space="preserve">Is pxGrid required, and how many pxGrid nodes are needed?</t>
  </si>
  <si>
    <t xml:space="preserve">Maximum four. Resource-heavy at scale, particularly alongside SXP.</t>
  </si>
  <si>
    <t xml:space="preserve">Two pxGrid nodes, shared with PAN/MnT in a medium deployment.</t>
  </si>
  <si>
    <t xml:space="preserve">15.03</t>
  </si>
  <si>
    <t xml:space="preserve">Do all consumers support pxGrid 2.0?</t>
  </si>
  <si>
    <t xml:space="preserve">pxGrid 1.0 support was removed in ISE 3.1. Older consumers will stop working.</t>
  </si>
  <si>
    <t xml:space="preserve">FMC 7.4 supports 2.0. One third-party tool must be checked.</t>
  </si>
  <si>
    <t xml:space="preserve">15.04</t>
  </si>
  <si>
    <t xml:space="preserve">Will the ISE internal CA or an external CA sign pxGrid client certificates?</t>
  </si>
  <si>
    <t xml:space="preserve">Determines the integration procedure for each consumer.</t>
  </si>
  <si>
    <t xml:space="preserve">15.05</t>
  </si>
  <si>
    <t xml:space="preserve">ANC</t>
  </si>
  <si>
    <t xml:space="preserve">Is automated threat containment (ANC quarantine) required?</t>
  </si>
  <si>
    <t xml:space="preserve">Allows a detection product to quarantine an endpoint in seconds via CoA.</t>
  </si>
  <si>
    <t xml:space="preserve">Yes, from Secure Network Analytics.</t>
  </si>
  <si>
    <t xml:space="preserve">15.06</t>
  </si>
  <si>
    <t xml:space="preserve">SIEM</t>
  </si>
  <si>
    <t xml:space="preserve">Which SIEM must receive ISE logs, and by what transport?</t>
  </si>
  <si>
    <t xml:space="preserve">Drives syslog target configuration and retention design.</t>
  </si>
  <si>
    <t xml:space="preserve">Splunk, syslog over TLS.</t>
  </si>
  <si>
    <t xml:space="preserve">15.07</t>
  </si>
  <si>
    <t xml:space="preserve">ITSM</t>
  </si>
  <si>
    <t xml:space="preserve">Should ISE integrate with a service management platform?</t>
  </si>
  <si>
    <t xml:space="preserve">Common for endpoint registration and change records.</t>
  </si>
  <si>
    <t xml:space="preserve">ServiceNow, via API in phase 3.</t>
  </si>
  <si>
    <t xml:space="preserve">15.08</t>
  </si>
  <si>
    <t xml:space="preserve">Which MDM or UEM platform must be integrated?</t>
  </si>
  <si>
    <t xml:space="preserve">Enables compliance as a condition of network access.</t>
  </si>
  <si>
    <t xml:space="preserve">15.09</t>
  </si>
  <si>
    <t xml:space="preserve">Vulnerability</t>
  </si>
  <si>
    <t xml:space="preserve">Is vulnerability assessment integration required?</t>
  </si>
  <si>
    <t xml:space="preserve">Allows authorisation based on vulnerability posture.</t>
  </si>
  <si>
    <t xml:space="preserve">Tenable, phase 3.</t>
  </si>
  <si>
    <t xml:space="preserve">15.10</t>
  </si>
  <si>
    <t xml:space="preserve">Firewall</t>
  </si>
  <si>
    <t xml:space="preserve">Should firewall rules be written against identity or security groups?</t>
  </si>
  <si>
    <t xml:space="preserve">The main practical benefit of pxGrid for most organisations.</t>
  </si>
  <si>
    <t xml:space="preserve">Yes, user-based rules on the perimeter firewall.</t>
  </si>
  <si>
    <t xml:space="preserve">15.11</t>
  </si>
  <si>
    <t xml:space="preserve">Are firewall rules required to permit pxGrid and CoA in both directions?</t>
  </si>
  <si>
    <t xml:space="preserve">pxGrid and CoA both travel in the direction nobody wrote a rule for.</t>
  </si>
  <si>
    <t xml:space="preserve">Firewall change request required.</t>
  </si>
  <si>
    <t xml:space="preserve">Resilience decisions are business decisions about acceptable downtime. Document what each level does not protect against.</t>
  </si>
  <si>
    <t xml:space="preserve">16.01</t>
  </si>
  <si>
    <t xml:space="preserve">Availability</t>
  </si>
  <si>
    <t xml:space="preserve">What is the required availability target for authentication services?</t>
  </si>
  <si>
    <t xml:space="preserve">Determines node count, distribution and failover design.</t>
  </si>
  <si>
    <t xml:space="preserve">99.9 percent during business hours.</t>
  </si>
  <si>
    <t xml:space="preserve">16.02</t>
  </si>
  <si>
    <t xml:space="preserve">What is the maximum acceptable authentication outage?</t>
  </si>
  <si>
    <t xml:space="preserve">Drives whether critical authentication and local fallback are sufficient.</t>
  </si>
  <si>
    <t xml:space="preserve">15 minutes for a single site; zero for the whole estate.</t>
  </si>
  <si>
    <t xml:space="preserve">16.03</t>
  </si>
  <si>
    <t xml:space="preserve">Failover</t>
  </si>
  <si>
    <t xml:space="preserve">Is automatic PAN failover required, or is manual promotion acceptable?</t>
  </si>
  <si>
    <t xml:space="preserve">Automatic failover adds complexity and its own failure modes.</t>
  </si>
  <si>
    <t xml:space="preserve">Manual promotion acceptable, documented runbook required.</t>
  </si>
  <si>
    <t xml:space="preserve">16.04</t>
  </si>
  <si>
    <t xml:space="preserve">How will network devices fail over between PSNs?</t>
  </si>
  <si>
    <t xml:space="preserve">RADIUS server group configuration, dead time and probe settings.</t>
  </si>
  <si>
    <t xml:space="preserve">Two PSNs per device, dead time 10 minutes.</t>
  </si>
  <si>
    <t xml:space="preserve">16.05</t>
  </si>
  <si>
    <t xml:space="preserve">Backup</t>
  </si>
  <si>
    <t xml:space="preserve">What is the backup schedule for configuration and operational data?</t>
  </si>
  <si>
    <t xml:space="preserve">The free-tier equivalent problem: no backup means no recovery.</t>
  </si>
  <si>
    <t xml:space="preserve">Nightly configuration backup, weekly operational.</t>
  </si>
  <si>
    <t xml:space="preserve">16.06</t>
  </si>
  <si>
    <t xml:space="preserve">Where are backups stored, and has a restore been tested?</t>
  </si>
  <si>
    <t xml:space="preserve">A backup that has not been restored is a hypothesis.</t>
  </si>
  <si>
    <t xml:space="preserve">Repository on a separate SFTP server. Restore test required quarterly.</t>
  </si>
  <si>
    <t xml:space="preserve">16.07</t>
  </si>
  <si>
    <t xml:space="preserve">DR</t>
  </si>
  <si>
    <t xml:space="preserve">What is the disaster recovery requirement — recovery time and recovery point?</t>
  </si>
  <si>
    <t xml:space="preserve">Determines whether a second data centre deployment is needed.</t>
  </si>
  <si>
    <t xml:space="preserve">RTO 4 hours, RPO 24 hours.</t>
  </si>
  <si>
    <t xml:space="preserve">16.08</t>
  </si>
  <si>
    <t xml:space="preserve">Will there be a DR deployment, and is it active or cold?</t>
  </si>
  <si>
    <t xml:space="preserve">A cold DR requires a documented and rehearsed rebuild.</t>
  </si>
  <si>
    <t xml:space="preserve">Active-active across two data centres.</t>
  </si>
  <si>
    <t xml:space="preserve">16.09</t>
  </si>
  <si>
    <t xml:space="preserve">Maintenance</t>
  </si>
  <si>
    <t xml:space="preserve">What maintenance windows are available for patching and upgrades?</t>
  </si>
  <si>
    <t xml:space="preserve">ISE upgrades take 90 to 120 minutes per PSN.</t>
  </si>
  <si>
    <t xml:space="preserve">Saturday 22:00 to Sunday 06:00, monthly.</t>
  </si>
  <si>
    <t xml:space="preserve">16.10</t>
  </si>
  <si>
    <t xml:space="preserve">What is the patching policy for ISE itself?</t>
  </si>
  <si>
    <t xml:space="preserve">Patches contain security fixes and feature additions.</t>
  </si>
  <si>
    <t xml:space="preserve">Within 60 days of release, after lab validation.</t>
  </si>
  <si>
    <t xml:space="preserve">ISE licensing is tiered and nested. Under-licensing blocks features; over-licensing wastes budget.</t>
  </si>
  <si>
    <t xml:space="preserve">17.01</t>
  </si>
  <si>
    <t xml:space="preserve">Tier</t>
  </si>
  <si>
    <t xml:space="preserve">Which licence tier is required — Essentials, Advantage or Premier?</t>
  </si>
  <si>
    <t xml:space="preserve">Nested model. Advantage includes Essentials; Premier includes both.</t>
  </si>
  <si>
    <t xml:space="preserve">Advantage for profiling and pxGrid; Premier for posture.</t>
  </si>
  <si>
    <t xml:space="preserve">17.02</t>
  </si>
  <si>
    <t xml:space="preserve">Count</t>
  </si>
  <si>
    <t xml:space="preserve">How many endpoint licences are required, based on concurrent sessions?</t>
  </si>
  <si>
    <t xml:space="preserve">Licensing is by active endpoint, not by user or by port.</t>
  </si>
  <si>
    <t xml:space="preserve">18,000 concurrent.</t>
  </si>
  <si>
    <t xml:space="preserve">17.03</t>
  </si>
  <si>
    <t xml:space="preserve">Device Admin</t>
  </si>
  <si>
    <t xml:space="preserve">Is a Device Administration licence required for TACACS+?</t>
  </si>
  <si>
    <t xml:space="preserve">Separate licence, per deployment rather than per endpoint.</t>
  </si>
  <si>
    <t xml:space="preserve">Yes.</t>
  </si>
  <si>
    <t xml:space="preserve">17.04</t>
  </si>
  <si>
    <t xml:space="preserve">Virtual</t>
  </si>
  <si>
    <t xml:space="preserve">Are Virtual Machine licences required?</t>
  </si>
  <si>
    <t xml:space="preserve">Required per VM node in a virtual deployment.</t>
  </si>
  <si>
    <t xml:space="preserve">Yes, six VM licences.</t>
  </si>
  <si>
    <t xml:space="preserve">17.05</t>
  </si>
  <si>
    <t xml:space="preserve">UDI</t>
  </si>
  <si>
    <t xml:space="preserve">Has the Unique Device Identifier been recorded for every node?</t>
  </si>
  <si>
    <t xml:space="preserve">PID, VID and serial number. Retrieving these from a failed node is painful.</t>
  </si>
  <si>
    <t xml:space="preserve">To be recorded at build time.</t>
  </si>
  <si>
    <t xml:space="preserve">17.06</t>
  </si>
  <si>
    <t xml:space="preserve">Term</t>
  </si>
  <si>
    <t xml:space="preserve">What licence term is being purchased, and when does it expire?</t>
  </si>
  <si>
    <t xml:space="preserve">Expiry causes feature loss. Renewal lead time is frequently missed.</t>
  </si>
  <si>
    <t xml:space="preserve">Three years, expiring FY29.</t>
  </si>
  <si>
    <t xml:space="preserve">17.07</t>
  </si>
  <si>
    <t xml:space="preserve">Growth</t>
  </si>
  <si>
    <t xml:space="preserve">Does the licence count include the five-year growth projection?</t>
  </si>
  <si>
    <t xml:space="preserve">Licence true-ups mid-project are avoidable with planning.</t>
  </si>
  <si>
    <t xml:space="preserve">Includes 20 percent headroom.</t>
  </si>
  <si>
    <t xml:space="preserve">17.08</t>
  </si>
  <si>
    <t xml:space="preserve">Smart</t>
  </si>
  <si>
    <t xml:space="preserve">Is Smart Licensing configured, and can the deployment reach Cisco Smart Software Manager?</t>
  </si>
  <si>
    <t xml:space="preserve">Air-gapped deployments need a satellite or offline registration.</t>
  </si>
  <si>
    <t xml:space="preserve">Direct internet access via proxy.</t>
  </si>
  <si>
    <t xml:space="preserve">The deployment succeeds or fails after go-live. Operational readiness is a deliverable, not an afterthought.</t>
  </si>
  <si>
    <t xml:space="preserve">18.01</t>
  </si>
  <si>
    <t xml:space="preserve">Team</t>
  </si>
  <si>
    <t xml:space="preserve">Who will operate ISE day to day, and what is their skill level?</t>
  </si>
  <si>
    <t xml:space="preserve">Determines training and documentation requirements.</t>
  </si>
  <si>
    <t xml:space="preserve">Network operations, six people, no ISE experience.</t>
  </si>
  <si>
    <t xml:space="preserve">18.02</t>
  </si>
  <si>
    <t xml:space="preserve">Is formal ISE training budgeted for the operations team?</t>
  </si>
  <si>
    <t xml:space="preserve">Untrained operators produce the most expensive incidents.</t>
  </si>
  <si>
    <t xml:space="preserve">Not yet budgeted. Required.</t>
  </si>
  <si>
    <t xml:space="preserve">18.03</t>
  </si>
  <si>
    <t xml:space="preserve">Runbooks</t>
  </si>
  <si>
    <t xml:space="preserve">What operational runbooks are required at handover?</t>
  </si>
  <si>
    <t xml:space="preserve">Common tasks must be documented for people who did not build the system.</t>
  </si>
  <si>
    <t xml:space="preserve">Add a network device, add an endpoint to MAB, troubleshoot a failure, promote the PAN.</t>
  </si>
  <si>
    <t xml:space="preserve">18.04</t>
  </si>
  <si>
    <t xml:space="preserve">Monitoring</t>
  </si>
  <si>
    <t xml:space="preserve">What must be monitored, and where do alerts go?</t>
  </si>
  <si>
    <t xml:space="preserve">Node health, replication state, certificate expiry, disk usage, authentication rate.</t>
  </si>
  <si>
    <t xml:space="preserve">SolarWinds for node health; Splunk for authentication anomalies.</t>
  </si>
  <si>
    <t xml:space="preserve">18.05</t>
  </si>
  <si>
    <t xml:space="preserve">Will certificate expiry be actively monitored and alerted?</t>
  </si>
  <si>
    <t xml:space="preserve">Certificate expiry is the most common cause of a sudden total outage.</t>
  </si>
  <si>
    <t xml:space="preserve">Yes, 90, 60 and 30 day alerts.</t>
  </si>
  <si>
    <t xml:space="preserve">18.06</t>
  </si>
  <si>
    <t xml:space="preserve">Are alarms configured for node latency, slow AD and slow LDAP?</t>
  </si>
  <si>
    <t xml:space="preserve">ISE 3.5 adds alarms for these specific conditions.</t>
  </si>
  <si>
    <t xml:space="preserve">To be configured.</t>
  </si>
  <si>
    <t xml:space="preserve">18.07</t>
  </si>
  <si>
    <t xml:space="preserve">Support</t>
  </si>
  <si>
    <t xml:space="preserve">What is the support model — Cisco TAC, a partner, or both?</t>
  </si>
  <si>
    <t xml:space="preserve">Determines escalation paths and expected response times.</t>
  </si>
  <si>
    <t xml:space="preserve">Cisco TAC 24x7 plus a partner for business hours.</t>
  </si>
  <si>
    <t xml:space="preserve">18.08</t>
  </si>
  <si>
    <t xml:space="preserve">Who is authorised to open a TAC case?</t>
  </si>
  <si>
    <t xml:space="preserve">Prevents delays during an incident.</t>
  </si>
  <si>
    <t xml:space="preserve">Network operations leads, three named individuals.</t>
  </si>
  <si>
    <t xml:space="preserve">18.09</t>
  </si>
  <si>
    <t xml:space="preserve">Reporting</t>
  </si>
  <si>
    <t xml:space="preserve">What regular reports must be produced, and for whom?</t>
  </si>
  <si>
    <t xml:space="preserve">Compliance reporting is often the reason the project was funded.</t>
  </si>
  <si>
    <t xml:space="preserve">Monthly authentication summary and unknown endpoint report to the CISO.</t>
  </si>
  <si>
    <t xml:space="preserve">18.10</t>
  </si>
  <si>
    <t xml:space="preserve">What evidence will auditors require, and in what format?</t>
  </si>
  <si>
    <t xml:space="preserve">Working backwards from the audit requirement avoids rework.</t>
  </si>
  <si>
    <t xml:space="preserve">Port-level enforcement status and quarterly access reviews.</t>
  </si>
  <si>
    <t xml:space="preserve">Sequencing determines risk. Every step needs an entry criterion, an exit criterion and a rollback.</t>
  </si>
  <si>
    <t xml:space="preserve">19.01</t>
  </si>
  <si>
    <t xml:space="preserve">Sequence</t>
  </si>
  <si>
    <t xml:space="preserve">What is the proposed phase order across use cases?</t>
  </si>
  <si>
    <t xml:space="preserve">Device administration first is low risk; wired enforcement last is prudent.</t>
  </si>
  <si>
    <t xml:space="preserve">TACACS+, then wireless, then wired monitor, then wired enforcement.</t>
  </si>
  <si>
    <t xml:space="preserve">19.02</t>
  </si>
  <si>
    <t xml:space="preserve">What are the entry and exit criteria for each phase?</t>
  </si>
  <si>
    <t xml:space="preserve">Prevents progression before the previous phase is genuinely stable.</t>
  </si>
  <si>
    <t xml:space="preserve">Exit monitor mode only when zero unexplained MAB endpoints remain for two weeks.</t>
  </si>
  <si>
    <t xml:space="preserve">19.03</t>
  </si>
  <si>
    <t xml:space="preserve">Pilot</t>
  </si>
  <si>
    <t xml:space="preserve">What defines pilot success, and who signs it off?</t>
  </si>
  <si>
    <t xml:space="preserve">A named acceptance owner prevents indefinite pilots.</t>
  </si>
  <si>
    <t xml:space="preserve">Defined test plan, signed off by the security architecture lead.</t>
  </si>
  <si>
    <t xml:space="preserve">19.04</t>
  </si>
  <si>
    <t xml:space="preserve">Communication</t>
  </si>
  <si>
    <t xml:space="preserve">What is the user communication plan before enforcement?</t>
  </si>
  <si>
    <t xml:space="preserve">Unannounced enforcement generates avoidable tickets and ill will.</t>
  </si>
  <si>
    <t xml:space="preserve">Two weeks notice, floor-by-floor, with a named contact.</t>
  </si>
  <si>
    <t xml:space="preserve">19.05</t>
  </si>
  <si>
    <t xml:space="preserve">How will the service desk be briefed and equipped?</t>
  </si>
  <si>
    <t xml:space="preserve">The service desk is the first place problems surface.</t>
  </si>
  <si>
    <t xml:space="preserve">Briefing session plus a decision-tree job aid.</t>
  </si>
  <si>
    <t xml:space="preserve">19.06</t>
  </si>
  <si>
    <t xml:space="preserve">Rollback</t>
  </si>
  <si>
    <t xml:space="preserve">What is the rollback plan at each phase, and has it been tested?</t>
  </si>
  <si>
    <t xml:space="preserve">Untested rollback is not a plan.</t>
  </si>
  <si>
    <t xml:space="preserve">Configuration template revert, tested in the lab and in the pilot.</t>
  </si>
  <si>
    <t xml:space="preserve">19.07</t>
  </si>
  <si>
    <t xml:space="preserve">What is the abort criterion, and who can call it?</t>
  </si>
  <si>
    <t xml:space="preserve">Decided in advance, enforced by someone who is not doing the work.</t>
  </si>
  <si>
    <t xml:space="preserve">More than 5 percent unexpected failures; called by the change manager.</t>
  </si>
  <si>
    <t xml:space="preserve">19.08</t>
  </si>
  <si>
    <t xml:space="preserve">Documentation</t>
  </si>
  <si>
    <t xml:space="preserve">What documentation is required at handover?</t>
  </si>
  <si>
    <t xml:space="preserve">High-level design, low-level design, runbooks, test evidence, as-built.</t>
  </si>
  <si>
    <t xml:space="preserve">All five, reviewed and accepted before project closure.</t>
  </si>
  <si>
    <t xml:space="preserve">19.09</t>
  </si>
  <si>
    <t xml:space="preserve">Knowledge</t>
  </si>
  <si>
    <t xml:space="preserve">How will knowledge transfer be delivered?</t>
  </si>
  <si>
    <t xml:space="preserve">Shadowing during rollout is more effective than a single training session.</t>
  </si>
  <si>
    <t xml:space="preserve">Operations team shadows every phase, plus formal training.</t>
  </si>
  <si>
    <t xml:space="preserve">19.10</t>
  </si>
  <si>
    <t xml:space="preserve">Closure</t>
  </si>
  <si>
    <t xml:space="preserve">What are the criteria for project closure and transition to support?</t>
  </si>
  <si>
    <t xml:space="preserve">Prevents an indefinite project phase.</t>
  </si>
  <si>
    <t xml:space="preserve">All phases complete, documentation accepted, 30 days of stable operation.</t>
  </si>
  <si>
    <t xml:space="preserve">These questions surface constraints that would otherwise appear late, usually during a security review shortly before go-live.</t>
  </si>
  <si>
    <t xml:space="preserve">20.01</t>
  </si>
  <si>
    <t xml:space="preserve">Hardening</t>
  </si>
  <si>
    <t xml:space="preserve">Is FIPS 140-3 mode required?</t>
  </si>
  <si>
    <t xml:space="preserve">FIPS mode disables IPsec, SSHv2, LDAPS, pxGrid, pxGrid Direct and TC-NAC components.</t>
  </si>
  <si>
    <t xml:space="preserve">Not required.</t>
  </si>
  <si>
    <t xml:space="preserve">20.02</t>
  </si>
  <si>
    <t xml:space="preserve">Are there mandatory hardening standards ISE must meet?</t>
  </si>
  <si>
    <t xml:space="preserve">CIS benchmarks or internal build standards may conflict with ISE requirements.</t>
  </si>
  <si>
    <t xml:space="preserve">Internal build standard applies. Exceptions to be documented.</t>
  </si>
  <si>
    <t xml:space="preserve">20.03</t>
  </si>
  <si>
    <t xml:space="preserve">Who may access the ISE administration interface, and how is that restricted?</t>
  </si>
  <si>
    <t xml:space="preserve">IP access restriction and RBAC within ISE itself.</t>
  </si>
  <si>
    <t xml:space="preserve">Named group, restricted to the management network.</t>
  </si>
  <si>
    <t xml:space="preserve">20.04</t>
  </si>
  <si>
    <t xml:space="preserve">Is role-based access control required within the ISE admin interface?</t>
  </si>
  <si>
    <t xml:space="preserve">Separates helpdesk read-only from full administrative rights.</t>
  </si>
  <si>
    <t xml:space="preserve">Yes, three roles.</t>
  </si>
  <si>
    <t xml:space="preserve">20.05</t>
  </si>
  <si>
    <t xml:space="preserve">Will administrative access to ISE use MFA?</t>
  </si>
  <si>
    <t xml:space="preserve">Administrative accounts are the highest-value target.</t>
  </si>
  <si>
    <t xml:space="preserve">Yes, via SAML to Entra ID.</t>
  </si>
  <si>
    <t xml:space="preserve">20.06</t>
  </si>
  <si>
    <t xml:space="preserve">Audit</t>
  </si>
  <si>
    <t xml:space="preserve">What audit logging is required for changes to ISE configuration?</t>
  </si>
  <si>
    <t xml:space="preserve">Change configuration audit is frequently an audit requirement.</t>
  </si>
  <si>
    <t xml:space="preserve">All changes logged and forwarded to the SIEM.</t>
  </si>
  <si>
    <t xml:space="preserve">20.07</t>
  </si>
  <si>
    <t xml:space="preserve">Data</t>
  </si>
  <si>
    <t xml:space="preserve">Does any data leave the environment — cloud profiling, telemetry, pxGrid Cloud?</t>
  </si>
  <si>
    <t xml:space="preserve">Cloud-assisted features send data externally and need approval.</t>
  </si>
  <si>
    <t xml:space="preserve">Cloud profiling not approved. Telemetry to be reviewed.</t>
  </si>
  <si>
    <t xml:space="preserve">20.08</t>
  </si>
  <si>
    <t xml:space="preserve">Are there data residency requirements affecting where ISE data is stored?</t>
  </si>
  <si>
    <t xml:space="preserve">Relevant for multinational deployments and regulated sectors.</t>
  </si>
  <si>
    <t xml:space="preserve">All data must remain in the EU.</t>
  </si>
  <si>
    <t xml:space="preserve">20.09</t>
  </si>
  <si>
    <t xml:space="preserve">Pen test</t>
  </si>
  <si>
    <t xml:space="preserve">Will the deployment be penetration tested before go-live?</t>
  </si>
  <si>
    <t xml:space="preserve">Common requirement, and it needs scheduling early.</t>
  </si>
  <si>
    <t xml:space="preserve">Yes, by an external firm, four weeks before go-live.</t>
  </si>
  <si>
    <t xml:space="preserve">20.10</t>
  </si>
  <si>
    <t xml:space="preserve">What is the process for a documented security exception?</t>
  </si>
  <si>
    <t xml:space="preserve">There will be devices that cannot comply.</t>
  </si>
  <si>
    <t xml:space="preserve">Risk acceptance form, CISO approval, expiry date mandatory.</t>
  </si>
  <si>
    <t xml:space="preserve">Completion Tracker</t>
  </si>
  <si>
    <t xml:space="preserve">Counts update automatically as the yellow Customer Answer cells are filled in.</t>
  </si>
  <si>
    <t xml:space="preserve">Phase</t>
  </si>
  <si>
    <t xml:space="preserve">Questions</t>
  </si>
  <si>
    <t xml:space="preserve">Answered</t>
  </si>
  <si>
    <t xml:space="preserve">Outstanding</t>
  </si>
  <si>
    <t xml:space="preserve">Critical Open</t>
  </si>
  <si>
    <t xml:space="preserve">% Complete</t>
  </si>
  <si>
    <t xml:space="preserve">TOTAL</t>
  </si>
  <si>
    <t xml:space="preserve">Note</t>
  </si>
  <si>
    <t xml:space="preserve">Critical Open counts unanswered questions marked Critical. Design should not proceed while this is above zero for the current phase.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</si>
</sst>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D3002D"/>
      <name val="Arial"/>
      <family val="0"/>
      <charset val="1"/>
    </font>
    <font>
      <i val="true"/>
      <sz val="11"/>
      <color rgb="FF5C5C64"/>
      <name val="Arial"/>
      <family val="0"/>
      <charset val="1"/>
    </font>
    <font>
      <b val="true"/>
      <sz val="11"/>
      <color rgb="FF0C0C0E"/>
      <name val="Arial"/>
      <family val="0"/>
      <charset val="1"/>
    </font>
    <font>
      <sz val="11"/>
      <color rgb="FF0C0C0E"/>
      <name val="Arial"/>
      <family val="0"/>
      <charset val="1"/>
    </font>
    <font>
      <b val="true"/>
      <sz val="11"/>
      <color rgb="FFFAF8F5"/>
      <name val="Arial"/>
      <family val="0"/>
      <charset val="1"/>
    </font>
    <font>
      <b val="true"/>
      <sz val="10"/>
      <color rgb="FF0C0C0E"/>
      <name val="Arial"/>
      <family val="0"/>
      <charset val="1"/>
    </font>
    <font>
      <sz val="10"/>
      <color rgb="FF0C0C0E"/>
      <name val="Arial"/>
      <family val="0"/>
      <charset val="1"/>
    </font>
    <font>
      <i val="true"/>
      <sz val="10"/>
      <color rgb="FF5C5C64"/>
      <name val="Arial"/>
      <family val="0"/>
      <charset val="1"/>
    </font>
    <font>
      <b val="true"/>
      <sz val="10"/>
      <color rgb="FFFAF8F5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3001F"/>
      <name val="Arial"/>
      <family val="0"/>
      <charset val="1"/>
    </font>
    <font>
      <sz val="10"/>
      <color rgb="FF633806"/>
      <name val="Arial"/>
      <family val="0"/>
      <charset val="1"/>
    </font>
    <font>
      <b val="true"/>
      <sz val="16"/>
      <color rgb="FFD3002D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C0C0E"/>
        <bgColor rgb="FF000000"/>
      </patternFill>
    </fill>
    <fill>
      <patternFill patternType="solid">
        <fgColor rgb="FFFFF6CC"/>
        <bgColor rgb="FFFAF8F5"/>
      </patternFill>
    </fill>
    <fill>
      <patternFill patternType="solid">
        <fgColor rgb="FFD3002D"/>
        <bgColor rgb="FF93001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E"/>
      </left>
      <right style="thin">
        <color rgb="FFD9D9DE"/>
      </right>
      <top style="thin">
        <color rgb="FFD9D9DE"/>
      </top>
      <bottom style="thin">
        <color rgb="FFD9D9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C0C0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AF8F5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633806"/>
          <bgColor rgb="FF000000"/>
        </patternFill>
      </fill>
    </dxf>
    <dxf>
      <fill>
        <patternFill patternType="solid">
          <fgColor rgb="FF93001F"/>
          <bgColor rgb="FF000000"/>
        </patternFill>
      </fill>
    </dxf>
  </dxfs>
  <colors>
    <indexedColors>
      <rgbColor rgb="FF000000"/>
      <rgbColor rgb="FFFAF8F5"/>
      <rgbColor rgb="FFD3002D"/>
      <rgbColor rgb="FF00FF00"/>
      <rgbColor rgb="FF0000FF"/>
      <rgbColor rgb="FFFFFF00"/>
      <rgbColor rgb="FFFF00FF"/>
      <rgbColor rgb="FF00FFFF"/>
      <rgbColor rgb="FF93001F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D9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5C64"/>
      <rgbColor rgb="FF969696"/>
      <rgbColor rgb="FF003366"/>
      <rgbColor rgb="FF339966"/>
      <rgbColor rgb="FF0C0C0E"/>
      <rgbColor rgb="FF63380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45.75" hidden="false" customHeight="true" outlineLevel="0" collapsed="false">
      <c r="B5" s="3" t="s">
        <v>2</v>
      </c>
      <c r="C5" s="4" t="s">
        <v>3</v>
      </c>
    </row>
    <row r="6" customFormat="false" ht="45.75" hidden="false" customHeight="true" outlineLevel="0" collapsed="false">
      <c r="B6" s="3" t="s">
        <v>4</v>
      </c>
      <c r="C6" s="4" t="s">
        <v>5</v>
      </c>
    </row>
    <row r="7" customFormat="false" ht="45.75" hidden="false" customHeight="true" outlineLevel="0" collapsed="false">
      <c r="B7" s="3" t="s">
        <v>6</v>
      </c>
      <c r="C7" s="4" t="s">
        <v>7</v>
      </c>
    </row>
    <row r="9" customFormat="false" ht="15" hidden="false" customHeight="false" outlineLevel="0" collapsed="false">
      <c r="B9" s="5" t="s">
        <v>8</v>
      </c>
      <c r="C9" s="6"/>
    </row>
    <row r="10" customFormat="false" ht="30" hidden="false" customHeight="true" outlineLevel="0" collapsed="false">
      <c r="B10" s="7" t="s">
        <v>9</v>
      </c>
      <c r="C10" s="8" t="s">
        <v>10</v>
      </c>
    </row>
    <row r="11" customFormat="false" ht="30" hidden="false" customHeight="true" outlineLevel="0" collapsed="false">
      <c r="B11" s="7" t="s">
        <v>11</v>
      </c>
      <c r="C11" s="8" t="s">
        <v>12</v>
      </c>
    </row>
    <row r="12" customFormat="false" ht="30" hidden="false" customHeight="true" outlineLevel="0" collapsed="false">
      <c r="B12" s="7" t="s">
        <v>13</v>
      </c>
      <c r="C12" s="8" t="s">
        <v>14</v>
      </c>
    </row>
    <row r="13" customFormat="false" ht="30" hidden="false" customHeight="true" outlineLevel="0" collapsed="false">
      <c r="B13" s="7" t="s">
        <v>15</v>
      </c>
      <c r="C13" s="8" t="s">
        <v>16</v>
      </c>
    </row>
    <row r="14" customFormat="false" ht="45.75" hidden="false" customHeight="true" outlineLevel="0" collapsed="false">
      <c r="B14" s="7" t="s">
        <v>17</v>
      </c>
      <c r="C14" s="8" t="s">
        <v>18</v>
      </c>
    </row>
    <row r="15" customFormat="false" ht="30" hidden="false" customHeight="true" outlineLevel="0" collapsed="false">
      <c r="B15" s="7" t="s">
        <v>19</v>
      </c>
      <c r="C15" s="8" t="s">
        <v>20</v>
      </c>
    </row>
    <row r="16" customFormat="false" ht="30" hidden="false" customHeight="true" outlineLevel="0" collapsed="false">
      <c r="B16" s="7" t="s">
        <v>21</v>
      </c>
      <c r="C16" s="8" t="s">
        <v>22</v>
      </c>
    </row>
    <row r="17" customFormat="false" ht="30" hidden="false" customHeight="true" outlineLevel="0" collapsed="false">
      <c r="B17" s="7" t="s">
        <v>23</v>
      </c>
      <c r="C17" s="8" t="s">
        <v>24</v>
      </c>
    </row>
    <row r="19" customFormat="false" ht="15" hidden="false" customHeight="false" outlineLevel="0" collapsed="false">
      <c r="B19" s="5" t="s">
        <v>25</v>
      </c>
      <c r="C19" s="6"/>
    </row>
    <row r="20" customFormat="false" ht="30" hidden="false" customHeight="true" outlineLevel="0" collapsed="false">
      <c r="B20" s="7" t="s">
        <v>26</v>
      </c>
      <c r="C20" s="8" t="s">
        <v>27</v>
      </c>
    </row>
    <row r="21" customFormat="false" ht="30" hidden="false" customHeight="true" outlineLevel="0" collapsed="false">
      <c r="B21" s="7" t="s">
        <v>28</v>
      </c>
      <c r="C21" s="8" t="s">
        <v>29</v>
      </c>
    </row>
    <row r="22" customFormat="false" ht="30" hidden="false" customHeight="true" outlineLevel="0" collapsed="false">
      <c r="B22" s="7" t="s">
        <v>30</v>
      </c>
      <c r="C22" s="8" t="s">
        <v>31</v>
      </c>
    </row>
    <row r="23" customFormat="false" ht="30" hidden="false" customHeight="true" outlineLevel="0" collapsed="false">
      <c r="B23" s="7" t="s">
        <v>32</v>
      </c>
      <c r="C23" s="8" t="s">
        <v>33</v>
      </c>
    </row>
    <row r="24" customFormat="false" ht="30" hidden="false" customHeight="true" outlineLevel="0" collapsed="false">
      <c r="B24" s="7" t="s">
        <v>34</v>
      </c>
      <c r="C24" s="8" t="s">
        <v>35</v>
      </c>
    </row>
    <row r="25" customFormat="false" ht="30" hidden="false" customHeight="true" outlineLevel="0" collapsed="false">
      <c r="B25" s="7" t="s">
        <v>36</v>
      </c>
      <c r="C25" s="8" t="s">
        <v>37</v>
      </c>
    </row>
    <row r="26" customFormat="false" ht="45.75" hidden="false" customHeight="true" outlineLevel="0" collapsed="false">
      <c r="B26" s="7" t="s">
        <v>38</v>
      </c>
      <c r="C26" s="8" t="s">
        <v>39</v>
      </c>
    </row>
    <row r="27" customFormat="false" ht="30" hidden="false" customHeight="true" outlineLevel="0" collapsed="false">
      <c r="B27" s="7" t="s">
        <v>40</v>
      </c>
      <c r="C27" s="8" t="s">
        <v>41</v>
      </c>
    </row>
    <row r="28" customFormat="false" ht="45.75" hidden="false" customHeight="true" outlineLevel="0" collapsed="false">
      <c r="B28" s="7" t="s">
        <v>42</v>
      </c>
      <c r="C28" s="8" t="s">
        <v>43</v>
      </c>
    </row>
    <row r="29" customFormat="false" ht="30" hidden="false" customHeight="true" outlineLevel="0" collapsed="false">
      <c r="B29" s="7" t="s">
        <v>44</v>
      </c>
      <c r="C29" s="8" t="s">
        <v>45</v>
      </c>
    </row>
    <row r="30" customFormat="false" ht="45.75" hidden="false" customHeight="true" outlineLevel="0" collapsed="false">
      <c r="B30" s="7" t="s">
        <v>46</v>
      </c>
      <c r="C30" s="8" t="s">
        <v>47</v>
      </c>
    </row>
    <row r="31" customFormat="false" ht="30" hidden="false" customHeight="true" outlineLevel="0" collapsed="false">
      <c r="B31" s="7" t="s">
        <v>48</v>
      </c>
      <c r="C31" s="8" t="s">
        <v>49</v>
      </c>
    </row>
    <row r="32" customFormat="false" ht="45.75" hidden="false" customHeight="true" outlineLevel="0" collapsed="false">
      <c r="B32" s="7" t="s">
        <v>50</v>
      </c>
      <c r="C32" s="8" t="s">
        <v>51</v>
      </c>
    </row>
    <row r="33" customFormat="false" ht="30" hidden="false" customHeight="true" outlineLevel="0" collapsed="false">
      <c r="B33" s="7" t="s">
        <v>52</v>
      </c>
      <c r="C33" s="8" t="s">
        <v>53</v>
      </c>
    </row>
    <row r="34" customFormat="false" ht="45.75" hidden="false" customHeight="true" outlineLevel="0" collapsed="false">
      <c r="B34" s="7" t="s">
        <v>54</v>
      </c>
      <c r="C34" s="8" t="s">
        <v>55</v>
      </c>
    </row>
    <row r="35" customFormat="false" ht="30" hidden="false" customHeight="true" outlineLevel="0" collapsed="false">
      <c r="B35" s="7" t="s">
        <v>56</v>
      </c>
      <c r="C35" s="8" t="s">
        <v>57</v>
      </c>
    </row>
    <row r="36" customFormat="false" ht="30" hidden="false" customHeight="true" outlineLevel="0" collapsed="false">
      <c r="B36" s="7" t="s">
        <v>58</v>
      </c>
      <c r="C36" s="8" t="s">
        <v>59</v>
      </c>
    </row>
    <row r="37" customFormat="false" ht="30" hidden="false" customHeight="true" outlineLevel="0" collapsed="false">
      <c r="B37" s="7" t="s">
        <v>60</v>
      </c>
      <c r="C37" s="8" t="s">
        <v>61</v>
      </c>
    </row>
    <row r="38" customFormat="false" ht="30" hidden="false" customHeight="true" outlineLevel="0" collapsed="false">
      <c r="B38" s="7" t="s">
        <v>62</v>
      </c>
      <c r="C38" s="8" t="s">
        <v>63</v>
      </c>
    </row>
    <row r="39" customFormat="false" ht="45.75" hidden="false" customHeight="true" outlineLevel="0" collapsed="false">
      <c r="B39" s="7" t="s">
        <v>64</v>
      </c>
      <c r="C39" s="8" t="s">
        <v>65</v>
      </c>
    </row>
    <row r="41" customFormat="false" ht="45.75" hidden="false" customHeight="true" outlineLevel="0" collapsed="false">
      <c r="B41" s="7" t="s">
        <v>66</v>
      </c>
      <c r="C41" s="8" t="s">
        <v>67</v>
      </c>
    </row>
    <row r="42" customFormat="false" ht="30" hidden="false" customHeight="true" outlineLevel="0" collapsed="false">
      <c r="B42" s="7" t="s">
        <v>68</v>
      </c>
      <c r="C42" s="8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70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73</v>
      </c>
      <c r="B3" s="12" t="s">
        <v>74</v>
      </c>
      <c r="C3" s="12" t="s">
        <v>75</v>
      </c>
      <c r="D3" s="12" t="s">
        <v>76</v>
      </c>
      <c r="E3" s="12" t="s">
        <v>77</v>
      </c>
      <c r="F3" s="13"/>
      <c r="G3" s="14" t="s">
        <v>78</v>
      </c>
      <c r="H3" s="11" t="s">
        <v>79</v>
      </c>
    </row>
    <row r="4" customFormat="false" ht="45.75" hidden="false" customHeight="true" outlineLevel="0" collapsed="false">
      <c r="A4" s="11" t="s">
        <v>80</v>
      </c>
      <c r="B4" s="12" t="s">
        <v>74</v>
      </c>
      <c r="C4" s="12" t="s">
        <v>81</v>
      </c>
      <c r="D4" s="12" t="s">
        <v>82</v>
      </c>
      <c r="E4" s="12" t="s">
        <v>83</v>
      </c>
      <c r="F4" s="13"/>
      <c r="G4" s="14" t="s">
        <v>78</v>
      </c>
      <c r="H4" s="11" t="s">
        <v>84</v>
      </c>
    </row>
    <row r="5" customFormat="false" ht="45.75" hidden="false" customHeight="true" outlineLevel="0" collapsed="false">
      <c r="A5" s="11" t="s">
        <v>85</v>
      </c>
      <c r="B5" s="12" t="s">
        <v>74</v>
      </c>
      <c r="C5" s="12" t="s">
        <v>86</v>
      </c>
      <c r="D5" s="12" t="s">
        <v>87</v>
      </c>
      <c r="E5" s="12" t="s">
        <v>88</v>
      </c>
      <c r="F5" s="13"/>
      <c r="G5" s="15" t="s">
        <v>89</v>
      </c>
      <c r="H5" s="11" t="s">
        <v>79</v>
      </c>
    </row>
    <row r="6" customFormat="false" ht="45.75" hidden="false" customHeight="true" outlineLevel="0" collapsed="false">
      <c r="A6" s="11" t="s">
        <v>90</v>
      </c>
      <c r="B6" s="12" t="s">
        <v>91</v>
      </c>
      <c r="C6" s="12" t="s">
        <v>92</v>
      </c>
      <c r="D6" s="12" t="s">
        <v>93</v>
      </c>
      <c r="E6" s="12" t="s">
        <v>94</v>
      </c>
      <c r="F6" s="13"/>
      <c r="G6" s="14" t="s">
        <v>78</v>
      </c>
      <c r="H6" s="11" t="s">
        <v>95</v>
      </c>
    </row>
    <row r="7" customFormat="false" ht="45.75" hidden="false" customHeight="true" outlineLevel="0" collapsed="false">
      <c r="A7" s="11" t="s">
        <v>96</v>
      </c>
      <c r="B7" s="12" t="s">
        <v>91</v>
      </c>
      <c r="C7" s="12" t="s">
        <v>97</v>
      </c>
      <c r="D7" s="12" t="s">
        <v>98</v>
      </c>
      <c r="E7" s="12" t="s">
        <v>99</v>
      </c>
      <c r="F7" s="13"/>
      <c r="G7" s="15" t="s">
        <v>89</v>
      </c>
      <c r="H7" s="11" t="s">
        <v>95</v>
      </c>
    </row>
    <row r="8" customFormat="false" ht="45.75" hidden="false" customHeight="true" outlineLevel="0" collapsed="false">
      <c r="A8" s="11" t="s">
        <v>100</v>
      </c>
      <c r="B8" s="12" t="s">
        <v>91</v>
      </c>
      <c r="C8" s="12" t="s">
        <v>101</v>
      </c>
      <c r="D8" s="12" t="s">
        <v>102</v>
      </c>
      <c r="E8" s="12" t="s">
        <v>103</v>
      </c>
      <c r="F8" s="13"/>
      <c r="G8" s="14" t="s">
        <v>78</v>
      </c>
      <c r="H8" s="11" t="s">
        <v>95</v>
      </c>
    </row>
    <row r="9" customFormat="false" ht="45.75" hidden="false" customHeight="true" outlineLevel="0" collapsed="false">
      <c r="A9" s="11" t="s">
        <v>104</v>
      </c>
      <c r="B9" s="12" t="s">
        <v>91</v>
      </c>
      <c r="C9" s="12" t="s">
        <v>105</v>
      </c>
      <c r="D9" s="12" t="s">
        <v>106</v>
      </c>
      <c r="E9" s="12" t="s">
        <v>107</v>
      </c>
      <c r="F9" s="13"/>
      <c r="G9" s="14" t="s">
        <v>78</v>
      </c>
      <c r="H9" s="11" t="s">
        <v>108</v>
      </c>
    </row>
    <row r="10" customFormat="false" ht="45.75" hidden="false" customHeight="true" outlineLevel="0" collapsed="false">
      <c r="A10" s="11" t="s">
        <v>109</v>
      </c>
      <c r="B10" s="12" t="s">
        <v>110</v>
      </c>
      <c r="C10" s="12" t="s">
        <v>111</v>
      </c>
      <c r="D10" s="12" t="s">
        <v>112</v>
      </c>
      <c r="E10" s="12" t="s">
        <v>113</v>
      </c>
      <c r="F10" s="13"/>
      <c r="G10" s="14" t="s">
        <v>78</v>
      </c>
      <c r="H10" s="11" t="s">
        <v>79</v>
      </c>
    </row>
    <row r="11" customFormat="false" ht="45.75" hidden="false" customHeight="true" outlineLevel="0" collapsed="false">
      <c r="A11" s="11" t="s">
        <v>114</v>
      </c>
      <c r="B11" s="12" t="s">
        <v>110</v>
      </c>
      <c r="C11" s="12" t="s">
        <v>115</v>
      </c>
      <c r="D11" s="12" t="s">
        <v>116</v>
      </c>
      <c r="E11" s="12" t="s">
        <v>117</v>
      </c>
      <c r="F11" s="13"/>
      <c r="G11" s="15" t="s">
        <v>89</v>
      </c>
      <c r="H11" s="11" t="s">
        <v>79</v>
      </c>
    </row>
    <row r="12" customFormat="false" ht="45.75" hidden="false" customHeight="true" outlineLevel="0" collapsed="false">
      <c r="A12" s="11" t="s">
        <v>118</v>
      </c>
      <c r="B12" s="12" t="s">
        <v>119</v>
      </c>
      <c r="C12" s="12" t="s">
        <v>120</v>
      </c>
      <c r="D12" s="12" t="s">
        <v>121</v>
      </c>
      <c r="E12" s="12" t="s">
        <v>122</v>
      </c>
      <c r="F12" s="13"/>
      <c r="G12" s="14" t="s">
        <v>78</v>
      </c>
      <c r="H12" s="11" t="s">
        <v>95</v>
      </c>
    </row>
    <row r="13" customFormat="false" ht="45.75" hidden="false" customHeight="true" outlineLevel="0" collapsed="false">
      <c r="A13" s="11" t="s">
        <v>123</v>
      </c>
      <c r="B13" s="12" t="s">
        <v>119</v>
      </c>
      <c r="C13" s="12" t="s">
        <v>124</v>
      </c>
      <c r="D13" s="12" t="s">
        <v>125</v>
      </c>
      <c r="E13" s="12" t="s">
        <v>126</v>
      </c>
      <c r="F13" s="13"/>
      <c r="G13" s="15" t="s">
        <v>89</v>
      </c>
      <c r="H13" s="11" t="s">
        <v>95</v>
      </c>
    </row>
    <row r="14" customFormat="false" ht="45.75" hidden="false" customHeight="true" outlineLevel="0" collapsed="false">
      <c r="A14" s="11" t="s">
        <v>127</v>
      </c>
      <c r="B14" s="12" t="s">
        <v>128</v>
      </c>
      <c r="C14" s="12" t="s">
        <v>129</v>
      </c>
      <c r="D14" s="12" t="s">
        <v>130</v>
      </c>
      <c r="E14" s="12" t="s">
        <v>131</v>
      </c>
      <c r="F14" s="13"/>
      <c r="G14" s="14" t="s">
        <v>78</v>
      </c>
      <c r="H14" s="11" t="s">
        <v>95</v>
      </c>
    </row>
    <row r="15" customFormat="false" ht="45.75" hidden="false" customHeight="true" outlineLevel="0" collapsed="false">
      <c r="A15" s="11" t="s">
        <v>132</v>
      </c>
      <c r="B15" s="12" t="s">
        <v>128</v>
      </c>
      <c r="C15" s="12" t="s">
        <v>133</v>
      </c>
      <c r="D15" s="12" t="s">
        <v>134</v>
      </c>
      <c r="E15" s="12" t="s">
        <v>135</v>
      </c>
      <c r="F15" s="13"/>
      <c r="G15" s="14" t="s">
        <v>78</v>
      </c>
      <c r="H15" s="11" t="s">
        <v>79</v>
      </c>
    </row>
    <row r="16" customFormat="false" ht="45.75" hidden="false" customHeight="true" outlineLevel="0" collapsed="false">
      <c r="A16" s="11" t="s">
        <v>136</v>
      </c>
      <c r="B16" s="12" t="s">
        <v>137</v>
      </c>
      <c r="C16" s="12" t="s">
        <v>138</v>
      </c>
      <c r="D16" s="12" t="s">
        <v>139</v>
      </c>
      <c r="E16" s="12" t="s">
        <v>140</v>
      </c>
      <c r="F16" s="13"/>
      <c r="G16" s="15" t="s">
        <v>89</v>
      </c>
      <c r="H16" s="11" t="s">
        <v>79</v>
      </c>
    </row>
    <row r="17" customFormat="false" ht="45.75" hidden="false" customHeight="true" outlineLevel="0" collapsed="false">
      <c r="A17" s="11" t="s">
        <v>141</v>
      </c>
      <c r="B17" s="12" t="s">
        <v>142</v>
      </c>
      <c r="C17" s="12" t="s">
        <v>143</v>
      </c>
      <c r="D17" s="12" t="s">
        <v>144</v>
      </c>
      <c r="E17" s="12" t="s">
        <v>145</v>
      </c>
      <c r="F17" s="13"/>
      <c r="G17" s="14" t="s">
        <v>78</v>
      </c>
      <c r="H17" s="11" t="s">
        <v>95</v>
      </c>
    </row>
  </sheetData>
  <autoFilter ref="A2:H17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146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147</v>
      </c>
      <c r="B3" s="12" t="s">
        <v>148</v>
      </c>
      <c r="C3" s="12" t="s">
        <v>149</v>
      </c>
      <c r="D3" s="12" t="s">
        <v>150</v>
      </c>
      <c r="E3" s="12" t="s">
        <v>151</v>
      </c>
      <c r="F3" s="13"/>
      <c r="G3" s="14" t="s">
        <v>78</v>
      </c>
      <c r="H3" s="11" t="s">
        <v>108</v>
      </c>
    </row>
    <row r="4" customFormat="false" ht="45.75" hidden="false" customHeight="true" outlineLevel="0" collapsed="false">
      <c r="A4" s="11" t="s">
        <v>152</v>
      </c>
      <c r="B4" s="12" t="s">
        <v>148</v>
      </c>
      <c r="C4" s="12" t="s">
        <v>153</v>
      </c>
      <c r="D4" s="12" t="s">
        <v>154</v>
      </c>
      <c r="E4" s="12" t="s">
        <v>155</v>
      </c>
      <c r="F4" s="13"/>
      <c r="G4" s="14" t="s">
        <v>78</v>
      </c>
      <c r="H4" s="11" t="s">
        <v>108</v>
      </c>
    </row>
    <row r="5" customFormat="false" ht="45.75" hidden="false" customHeight="true" outlineLevel="0" collapsed="false">
      <c r="A5" s="11" t="s">
        <v>156</v>
      </c>
      <c r="B5" s="12" t="s">
        <v>148</v>
      </c>
      <c r="C5" s="12" t="s">
        <v>157</v>
      </c>
      <c r="D5" s="12" t="s">
        <v>158</v>
      </c>
      <c r="E5" s="12" t="s">
        <v>159</v>
      </c>
      <c r="F5" s="13"/>
      <c r="G5" s="14" t="s">
        <v>78</v>
      </c>
      <c r="H5" s="11" t="s">
        <v>79</v>
      </c>
    </row>
    <row r="6" customFormat="false" ht="45.75" hidden="false" customHeight="true" outlineLevel="0" collapsed="false">
      <c r="A6" s="11" t="s">
        <v>160</v>
      </c>
      <c r="B6" s="12" t="s">
        <v>148</v>
      </c>
      <c r="C6" s="12" t="s">
        <v>161</v>
      </c>
      <c r="D6" s="12" t="s">
        <v>162</v>
      </c>
      <c r="E6" s="12" t="s">
        <v>163</v>
      </c>
      <c r="F6" s="13"/>
      <c r="G6" s="15" t="s">
        <v>89</v>
      </c>
      <c r="H6" s="11" t="s">
        <v>108</v>
      </c>
    </row>
    <row r="7" customFormat="false" ht="45.75" hidden="false" customHeight="true" outlineLevel="0" collapsed="false">
      <c r="A7" s="11" t="s">
        <v>164</v>
      </c>
      <c r="B7" s="12" t="s">
        <v>165</v>
      </c>
      <c r="C7" s="12" t="s">
        <v>166</v>
      </c>
      <c r="D7" s="12" t="s">
        <v>167</v>
      </c>
      <c r="E7" s="12" t="s">
        <v>168</v>
      </c>
      <c r="F7" s="13"/>
      <c r="G7" s="14" t="s">
        <v>78</v>
      </c>
      <c r="H7" s="11" t="s">
        <v>108</v>
      </c>
    </row>
    <row r="8" customFormat="false" ht="45.75" hidden="false" customHeight="true" outlineLevel="0" collapsed="false">
      <c r="A8" s="11" t="s">
        <v>169</v>
      </c>
      <c r="B8" s="12" t="s">
        <v>165</v>
      </c>
      <c r="C8" s="12" t="s">
        <v>170</v>
      </c>
      <c r="D8" s="12" t="s">
        <v>171</v>
      </c>
      <c r="E8" s="12" t="s">
        <v>172</v>
      </c>
      <c r="F8" s="13"/>
      <c r="G8" s="14" t="s">
        <v>78</v>
      </c>
      <c r="H8" s="11" t="s">
        <v>108</v>
      </c>
    </row>
    <row r="9" customFormat="false" ht="45.75" hidden="false" customHeight="true" outlineLevel="0" collapsed="false">
      <c r="A9" s="11" t="s">
        <v>173</v>
      </c>
      <c r="B9" s="12" t="s">
        <v>165</v>
      </c>
      <c r="C9" s="12" t="s">
        <v>174</v>
      </c>
      <c r="D9" s="12" t="s">
        <v>175</v>
      </c>
      <c r="E9" s="12" t="s">
        <v>176</v>
      </c>
      <c r="F9" s="13"/>
      <c r="G9" s="14" t="s">
        <v>78</v>
      </c>
      <c r="H9" s="11" t="s">
        <v>177</v>
      </c>
    </row>
    <row r="10" customFormat="false" ht="45.75" hidden="false" customHeight="true" outlineLevel="0" collapsed="false">
      <c r="A10" s="11" t="s">
        <v>178</v>
      </c>
      <c r="B10" s="12" t="s">
        <v>165</v>
      </c>
      <c r="C10" s="12" t="s">
        <v>179</v>
      </c>
      <c r="D10" s="12" t="s">
        <v>180</v>
      </c>
      <c r="E10" s="12" t="s">
        <v>181</v>
      </c>
      <c r="F10" s="13"/>
      <c r="G10" s="14" t="s">
        <v>78</v>
      </c>
      <c r="H10" s="11" t="s">
        <v>177</v>
      </c>
    </row>
    <row r="11" customFormat="false" ht="45.75" hidden="false" customHeight="true" outlineLevel="0" collapsed="false">
      <c r="A11" s="11" t="s">
        <v>182</v>
      </c>
      <c r="B11" s="12" t="s">
        <v>165</v>
      </c>
      <c r="C11" s="12" t="s">
        <v>183</v>
      </c>
      <c r="D11" s="12" t="s">
        <v>184</v>
      </c>
      <c r="E11" s="12" t="s">
        <v>185</v>
      </c>
      <c r="F11" s="13"/>
      <c r="G11" s="15" t="s">
        <v>89</v>
      </c>
      <c r="H11" s="11" t="s">
        <v>177</v>
      </c>
    </row>
    <row r="12" customFormat="false" ht="45.75" hidden="false" customHeight="true" outlineLevel="0" collapsed="false">
      <c r="A12" s="11" t="s">
        <v>186</v>
      </c>
      <c r="B12" s="12" t="s">
        <v>165</v>
      </c>
      <c r="C12" s="12" t="s">
        <v>187</v>
      </c>
      <c r="D12" s="12" t="s">
        <v>188</v>
      </c>
      <c r="E12" s="12" t="s">
        <v>189</v>
      </c>
      <c r="F12" s="13"/>
      <c r="G12" s="14" t="s">
        <v>78</v>
      </c>
      <c r="H12" s="11" t="s">
        <v>108</v>
      </c>
    </row>
    <row r="13" customFormat="false" ht="45.75" hidden="false" customHeight="true" outlineLevel="0" collapsed="false">
      <c r="A13" s="11" t="s">
        <v>190</v>
      </c>
      <c r="B13" s="12" t="s">
        <v>191</v>
      </c>
      <c r="C13" s="12" t="s">
        <v>192</v>
      </c>
      <c r="D13" s="12" t="s">
        <v>193</v>
      </c>
      <c r="E13" s="12" t="s">
        <v>194</v>
      </c>
      <c r="F13" s="13"/>
      <c r="G13" s="14" t="s">
        <v>78</v>
      </c>
      <c r="H13" s="11" t="s">
        <v>108</v>
      </c>
    </row>
    <row r="14" customFormat="false" ht="45.75" hidden="false" customHeight="true" outlineLevel="0" collapsed="false">
      <c r="A14" s="11" t="s">
        <v>195</v>
      </c>
      <c r="B14" s="12" t="s">
        <v>191</v>
      </c>
      <c r="C14" s="12" t="s">
        <v>196</v>
      </c>
      <c r="D14" s="12" t="s">
        <v>197</v>
      </c>
      <c r="E14" s="12" t="s">
        <v>198</v>
      </c>
      <c r="F14" s="13"/>
      <c r="G14" s="14" t="s">
        <v>78</v>
      </c>
      <c r="H14" s="11" t="s">
        <v>108</v>
      </c>
    </row>
    <row r="15" customFormat="false" ht="45.75" hidden="false" customHeight="true" outlineLevel="0" collapsed="false">
      <c r="A15" s="11" t="s">
        <v>199</v>
      </c>
      <c r="B15" s="12" t="s">
        <v>191</v>
      </c>
      <c r="C15" s="12" t="s">
        <v>200</v>
      </c>
      <c r="D15" s="12" t="s">
        <v>201</v>
      </c>
      <c r="E15" s="12" t="s">
        <v>202</v>
      </c>
      <c r="F15" s="13"/>
      <c r="G15" s="14" t="s">
        <v>78</v>
      </c>
      <c r="H15" s="11" t="s">
        <v>203</v>
      </c>
    </row>
    <row r="16" customFormat="false" ht="45.75" hidden="false" customHeight="true" outlineLevel="0" collapsed="false">
      <c r="A16" s="11" t="s">
        <v>204</v>
      </c>
      <c r="B16" s="12" t="s">
        <v>205</v>
      </c>
      <c r="C16" s="12" t="s">
        <v>206</v>
      </c>
      <c r="D16" s="12" t="s">
        <v>207</v>
      </c>
      <c r="E16" s="12" t="s">
        <v>208</v>
      </c>
      <c r="F16" s="13"/>
      <c r="G16" s="15" t="s">
        <v>89</v>
      </c>
      <c r="H16" s="11" t="s">
        <v>108</v>
      </c>
    </row>
    <row r="17" customFormat="false" ht="45.75" hidden="false" customHeight="true" outlineLevel="0" collapsed="false">
      <c r="A17" s="11" t="s">
        <v>209</v>
      </c>
      <c r="B17" s="12" t="s">
        <v>205</v>
      </c>
      <c r="C17" s="12" t="s">
        <v>210</v>
      </c>
      <c r="D17" s="12" t="s">
        <v>211</v>
      </c>
      <c r="E17" s="12" t="s">
        <v>212</v>
      </c>
      <c r="F17" s="13"/>
      <c r="G17" s="15" t="s">
        <v>89</v>
      </c>
      <c r="H17" s="11" t="s">
        <v>84</v>
      </c>
    </row>
    <row r="18" customFormat="false" ht="45.75" hidden="false" customHeight="true" outlineLevel="0" collapsed="false">
      <c r="A18" s="11" t="s">
        <v>213</v>
      </c>
      <c r="B18" s="12" t="s">
        <v>205</v>
      </c>
      <c r="C18" s="12" t="s">
        <v>214</v>
      </c>
      <c r="D18" s="12" t="s">
        <v>215</v>
      </c>
      <c r="E18" s="12" t="s">
        <v>216</v>
      </c>
      <c r="F18" s="13"/>
      <c r="G18" s="14" t="s">
        <v>78</v>
      </c>
      <c r="H18" s="11" t="s">
        <v>108</v>
      </c>
    </row>
    <row r="19" customFormat="false" ht="45.75" hidden="false" customHeight="true" outlineLevel="0" collapsed="false">
      <c r="A19" s="11" t="s">
        <v>217</v>
      </c>
      <c r="B19" s="12" t="s">
        <v>218</v>
      </c>
      <c r="C19" s="12" t="s">
        <v>219</v>
      </c>
      <c r="D19" s="12" t="s">
        <v>220</v>
      </c>
      <c r="E19" s="12" t="s">
        <v>221</v>
      </c>
      <c r="F19" s="13"/>
      <c r="G19" s="14" t="s">
        <v>78</v>
      </c>
      <c r="H19" s="11" t="s">
        <v>84</v>
      </c>
    </row>
    <row r="20" customFormat="false" ht="45.75" hidden="false" customHeight="true" outlineLevel="0" collapsed="false">
      <c r="A20" s="11" t="s">
        <v>222</v>
      </c>
      <c r="B20" s="12" t="s">
        <v>218</v>
      </c>
      <c r="C20" s="12" t="s">
        <v>223</v>
      </c>
      <c r="D20" s="12" t="s">
        <v>224</v>
      </c>
      <c r="E20" s="12" t="s">
        <v>225</v>
      </c>
      <c r="F20" s="13"/>
      <c r="G20" s="15" t="s">
        <v>89</v>
      </c>
      <c r="H20" s="11" t="s">
        <v>84</v>
      </c>
    </row>
  </sheetData>
  <autoFilter ref="A2:H20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226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227</v>
      </c>
      <c r="B3" s="12" t="s">
        <v>228</v>
      </c>
      <c r="C3" s="12" t="s">
        <v>229</v>
      </c>
      <c r="D3" s="12" t="s">
        <v>230</v>
      </c>
      <c r="E3" s="12" t="s">
        <v>231</v>
      </c>
      <c r="F3" s="13"/>
      <c r="G3" s="14" t="s">
        <v>78</v>
      </c>
      <c r="H3" s="11" t="s">
        <v>108</v>
      </c>
    </row>
    <row r="4" customFormat="false" ht="45.75" hidden="false" customHeight="true" outlineLevel="0" collapsed="false">
      <c r="A4" s="11" t="s">
        <v>232</v>
      </c>
      <c r="B4" s="12" t="s">
        <v>228</v>
      </c>
      <c r="C4" s="12" t="s">
        <v>233</v>
      </c>
      <c r="D4" s="12" t="s">
        <v>234</v>
      </c>
      <c r="E4" s="12" t="s">
        <v>235</v>
      </c>
      <c r="F4" s="13"/>
      <c r="G4" s="14" t="s">
        <v>78</v>
      </c>
      <c r="H4" s="11" t="s">
        <v>108</v>
      </c>
    </row>
    <row r="5" customFormat="false" ht="45.75" hidden="false" customHeight="true" outlineLevel="0" collapsed="false">
      <c r="A5" s="11" t="s">
        <v>236</v>
      </c>
      <c r="B5" s="12" t="s">
        <v>228</v>
      </c>
      <c r="C5" s="12" t="s">
        <v>237</v>
      </c>
      <c r="D5" s="12" t="s">
        <v>238</v>
      </c>
      <c r="E5" s="12" t="s">
        <v>239</v>
      </c>
      <c r="F5" s="13"/>
      <c r="G5" s="15" t="s">
        <v>89</v>
      </c>
      <c r="H5" s="11" t="s">
        <v>108</v>
      </c>
    </row>
    <row r="6" customFormat="false" ht="45.75" hidden="false" customHeight="true" outlineLevel="0" collapsed="false">
      <c r="A6" s="11" t="s">
        <v>240</v>
      </c>
      <c r="B6" s="12" t="s">
        <v>228</v>
      </c>
      <c r="C6" s="12" t="s">
        <v>241</v>
      </c>
      <c r="D6" s="12" t="s">
        <v>242</v>
      </c>
      <c r="E6" s="12" t="s">
        <v>243</v>
      </c>
      <c r="F6" s="13"/>
      <c r="G6" s="15" t="s">
        <v>89</v>
      </c>
      <c r="H6" s="11" t="s">
        <v>108</v>
      </c>
    </row>
    <row r="7" customFormat="false" ht="45.75" hidden="false" customHeight="true" outlineLevel="0" collapsed="false">
      <c r="A7" s="11" t="s">
        <v>244</v>
      </c>
      <c r="B7" s="12" t="s">
        <v>228</v>
      </c>
      <c r="C7" s="12" t="s">
        <v>245</v>
      </c>
      <c r="D7" s="12" t="s">
        <v>246</v>
      </c>
      <c r="E7" s="12" t="s">
        <v>247</v>
      </c>
      <c r="F7" s="13"/>
      <c r="G7" s="11" t="s">
        <v>248</v>
      </c>
      <c r="H7" s="11" t="s">
        <v>108</v>
      </c>
    </row>
    <row r="8" customFormat="false" ht="45.75" hidden="false" customHeight="true" outlineLevel="0" collapsed="false">
      <c r="A8" s="11" t="s">
        <v>249</v>
      </c>
      <c r="B8" s="12" t="s">
        <v>250</v>
      </c>
      <c r="C8" s="12" t="s">
        <v>251</v>
      </c>
      <c r="D8" s="12" t="s">
        <v>252</v>
      </c>
      <c r="E8" s="12" t="s">
        <v>253</v>
      </c>
      <c r="F8" s="13"/>
      <c r="G8" s="14" t="s">
        <v>78</v>
      </c>
      <c r="H8" s="11" t="s">
        <v>254</v>
      </c>
    </row>
    <row r="9" customFormat="false" ht="45.75" hidden="false" customHeight="true" outlineLevel="0" collapsed="false">
      <c r="A9" s="11" t="s">
        <v>255</v>
      </c>
      <c r="B9" s="12" t="s">
        <v>250</v>
      </c>
      <c r="C9" s="12" t="s">
        <v>256</v>
      </c>
      <c r="D9" s="12" t="s">
        <v>257</v>
      </c>
      <c r="E9" s="12" t="s">
        <v>258</v>
      </c>
      <c r="F9" s="13"/>
      <c r="G9" s="14" t="s">
        <v>78</v>
      </c>
      <c r="H9" s="11" t="s">
        <v>254</v>
      </c>
    </row>
    <row r="10" customFormat="false" ht="45.75" hidden="false" customHeight="true" outlineLevel="0" collapsed="false">
      <c r="A10" s="11" t="s">
        <v>259</v>
      </c>
      <c r="B10" s="12" t="s">
        <v>250</v>
      </c>
      <c r="C10" s="12" t="s">
        <v>260</v>
      </c>
      <c r="D10" s="12" t="s">
        <v>261</v>
      </c>
      <c r="E10" s="12" t="s">
        <v>262</v>
      </c>
      <c r="F10" s="13"/>
      <c r="G10" s="14" t="s">
        <v>78</v>
      </c>
      <c r="H10" s="11" t="s">
        <v>254</v>
      </c>
    </row>
    <row r="11" customFormat="false" ht="45.75" hidden="false" customHeight="true" outlineLevel="0" collapsed="false">
      <c r="A11" s="11" t="s">
        <v>263</v>
      </c>
      <c r="B11" s="12" t="s">
        <v>264</v>
      </c>
      <c r="C11" s="12" t="s">
        <v>265</v>
      </c>
      <c r="D11" s="12" t="s">
        <v>266</v>
      </c>
      <c r="E11" s="12" t="s">
        <v>267</v>
      </c>
      <c r="F11" s="13"/>
      <c r="G11" s="14" t="s">
        <v>78</v>
      </c>
      <c r="H11" s="11" t="s">
        <v>108</v>
      </c>
    </row>
    <row r="12" customFormat="false" ht="45.75" hidden="false" customHeight="true" outlineLevel="0" collapsed="false">
      <c r="A12" s="11" t="s">
        <v>268</v>
      </c>
      <c r="B12" s="12" t="s">
        <v>264</v>
      </c>
      <c r="C12" s="12" t="s">
        <v>269</v>
      </c>
      <c r="D12" s="12" t="s">
        <v>270</v>
      </c>
      <c r="E12" s="12" t="s">
        <v>271</v>
      </c>
      <c r="F12" s="13"/>
      <c r="G12" s="14" t="s">
        <v>78</v>
      </c>
      <c r="H12" s="11" t="s">
        <v>84</v>
      </c>
    </row>
    <row r="13" customFormat="false" ht="45.75" hidden="false" customHeight="true" outlineLevel="0" collapsed="false">
      <c r="A13" s="11" t="s">
        <v>272</v>
      </c>
      <c r="B13" s="12" t="s">
        <v>264</v>
      </c>
      <c r="C13" s="12" t="s">
        <v>273</v>
      </c>
      <c r="D13" s="12" t="s">
        <v>274</v>
      </c>
      <c r="E13" s="12" t="s">
        <v>275</v>
      </c>
      <c r="F13" s="13"/>
      <c r="G13" s="15" t="s">
        <v>89</v>
      </c>
      <c r="H13" s="11" t="s">
        <v>108</v>
      </c>
    </row>
    <row r="14" customFormat="false" ht="45.75" hidden="false" customHeight="true" outlineLevel="0" collapsed="false">
      <c r="A14" s="11" t="s">
        <v>276</v>
      </c>
      <c r="B14" s="12" t="s">
        <v>277</v>
      </c>
      <c r="C14" s="12" t="s">
        <v>278</v>
      </c>
      <c r="D14" s="12" t="s">
        <v>279</v>
      </c>
      <c r="E14" s="12" t="s">
        <v>280</v>
      </c>
      <c r="F14" s="13"/>
      <c r="G14" s="15" t="s">
        <v>89</v>
      </c>
      <c r="H14" s="11" t="s">
        <v>108</v>
      </c>
    </row>
    <row r="15" customFormat="false" ht="45.75" hidden="false" customHeight="true" outlineLevel="0" collapsed="false">
      <c r="A15" s="11" t="s">
        <v>281</v>
      </c>
      <c r="B15" s="12" t="s">
        <v>277</v>
      </c>
      <c r="C15" s="12" t="s">
        <v>282</v>
      </c>
      <c r="D15" s="12" t="s">
        <v>283</v>
      </c>
      <c r="E15" s="12" t="s">
        <v>284</v>
      </c>
      <c r="F15" s="13"/>
      <c r="G15" s="15" t="s">
        <v>89</v>
      </c>
      <c r="H15" s="11" t="s">
        <v>108</v>
      </c>
    </row>
    <row r="16" customFormat="false" ht="45.75" hidden="false" customHeight="true" outlineLevel="0" collapsed="false">
      <c r="A16" s="11" t="s">
        <v>285</v>
      </c>
      <c r="B16" s="12" t="s">
        <v>277</v>
      </c>
      <c r="C16" s="12" t="s">
        <v>286</v>
      </c>
      <c r="D16" s="12" t="s">
        <v>287</v>
      </c>
      <c r="E16" s="12" t="s">
        <v>288</v>
      </c>
      <c r="F16" s="13"/>
      <c r="G16" s="14" t="s">
        <v>78</v>
      </c>
      <c r="H16" s="11" t="s">
        <v>108</v>
      </c>
    </row>
    <row r="17" customFormat="false" ht="45.75" hidden="false" customHeight="true" outlineLevel="0" collapsed="false">
      <c r="A17" s="11" t="s">
        <v>289</v>
      </c>
      <c r="B17" s="12" t="s">
        <v>277</v>
      </c>
      <c r="C17" s="12" t="s">
        <v>290</v>
      </c>
      <c r="D17" s="12" t="s">
        <v>291</v>
      </c>
      <c r="E17" s="12" t="s">
        <v>292</v>
      </c>
      <c r="F17" s="13"/>
      <c r="G17" s="14" t="s">
        <v>78</v>
      </c>
      <c r="H17" s="11" t="s">
        <v>108</v>
      </c>
    </row>
    <row r="18" customFormat="false" ht="45.75" hidden="false" customHeight="true" outlineLevel="0" collapsed="false">
      <c r="A18" s="11" t="s">
        <v>293</v>
      </c>
      <c r="B18" s="12" t="s">
        <v>294</v>
      </c>
      <c r="C18" s="12" t="s">
        <v>295</v>
      </c>
      <c r="D18" s="12" t="s">
        <v>296</v>
      </c>
      <c r="E18" s="12" t="s">
        <v>297</v>
      </c>
      <c r="F18" s="13"/>
      <c r="G18" s="15" t="s">
        <v>89</v>
      </c>
      <c r="H18" s="11" t="s">
        <v>108</v>
      </c>
    </row>
    <row r="19" customFormat="false" ht="45.75" hidden="false" customHeight="true" outlineLevel="0" collapsed="false">
      <c r="A19" s="11" t="s">
        <v>298</v>
      </c>
      <c r="B19" s="12" t="s">
        <v>294</v>
      </c>
      <c r="C19" s="12" t="s">
        <v>299</v>
      </c>
      <c r="D19" s="12" t="s">
        <v>300</v>
      </c>
      <c r="E19" s="12" t="s">
        <v>301</v>
      </c>
      <c r="F19" s="13"/>
      <c r="G19" s="15" t="s">
        <v>89</v>
      </c>
      <c r="H19" s="11" t="s">
        <v>108</v>
      </c>
    </row>
    <row r="20" customFormat="false" ht="45.75" hidden="false" customHeight="true" outlineLevel="0" collapsed="false">
      <c r="A20" s="11" t="s">
        <v>302</v>
      </c>
      <c r="B20" s="12" t="s">
        <v>303</v>
      </c>
      <c r="C20" s="12" t="s">
        <v>304</v>
      </c>
      <c r="D20" s="12" t="s">
        <v>305</v>
      </c>
      <c r="E20" s="12" t="s">
        <v>306</v>
      </c>
      <c r="F20" s="13"/>
      <c r="G20" s="15" t="s">
        <v>89</v>
      </c>
      <c r="H20" s="11" t="s">
        <v>108</v>
      </c>
    </row>
    <row r="21" customFormat="false" ht="45.75" hidden="false" customHeight="true" outlineLevel="0" collapsed="false">
      <c r="A21" s="11" t="s">
        <v>307</v>
      </c>
      <c r="B21" s="12" t="s">
        <v>303</v>
      </c>
      <c r="C21" s="12" t="s">
        <v>308</v>
      </c>
      <c r="D21" s="12" t="s">
        <v>309</v>
      </c>
      <c r="E21" s="12" t="s">
        <v>310</v>
      </c>
      <c r="F21" s="13"/>
      <c r="G21" s="15" t="s">
        <v>89</v>
      </c>
      <c r="H21" s="11" t="s">
        <v>108</v>
      </c>
    </row>
  </sheetData>
  <autoFilter ref="A2:H21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311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312</v>
      </c>
      <c r="B3" s="12" t="s">
        <v>313</v>
      </c>
      <c r="C3" s="12" t="s">
        <v>314</v>
      </c>
      <c r="D3" s="12" t="s">
        <v>315</v>
      </c>
      <c r="E3" s="12" t="s">
        <v>316</v>
      </c>
      <c r="F3" s="13"/>
      <c r="G3" s="14" t="s">
        <v>78</v>
      </c>
      <c r="H3" s="11" t="s">
        <v>203</v>
      </c>
    </row>
    <row r="4" customFormat="false" ht="45.75" hidden="false" customHeight="true" outlineLevel="0" collapsed="false">
      <c r="A4" s="11" t="s">
        <v>317</v>
      </c>
      <c r="B4" s="12" t="s">
        <v>313</v>
      </c>
      <c r="C4" s="12" t="s">
        <v>318</v>
      </c>
      <c r="D4" s="12" t="s">
        <v>319</v>
      </c>
      <c r="E4" s="12" t="s">
        <v>320</v>
      </c>
      <c r="F4" s="13"/>
      <c r="G4" s="15" t="s">
        <v>89</v>
      </c>
      <c r="H4" s="11" t="s">
        <v>203</v>
      </c>
    </row>
    <row r="5" customFormat="false" ht="45.75" hidden="false" customHeight="true" outlineLevel="0" collapsed="false">
      <c r="A5" s="11" t="s">
        <v>321</v>
      </c>
      <c r="B5" s="12" t="s">
        <v>313</v>
      </c>
      <c r="C5" s="12" t="s">
        <v>322</v>
      </c>
      <c r="D5" s="12" t="s">
        <v>323</v>
      </c>
      <c r="E5" s="12" t="s">
        <v>324</v>
      </c>
      <c r="F5" s="13"/>
      <c r="G5" s="15" t="s">
        <v>89</v>
      </c>
      <c r="H5" s="11" t="s">
        <v>203</v>
      </c>
    </row>
    <row r="6" customFormat="false" ht="45.75" hidden="false" customHeight="true" outlineLevel="0" collapsed="false">
      <c r="A6" s="11" t="s">
        <v>325</v>
      </c>
      <c r="B6" s="12" t="s">
        <v>313</v>
      </c>
      <c r="C6" s="12" t="s">
        <v>326</v>
      </c>
      <c r="D6" s="12" t="s">
        <v>327</v>
      </c>
      <c r="E6" s="12" t="s">
        <v>328</v>
      </c>
      <c r="F6" s="13"/>
      <c r="G6" s="14" t="s">
        <v>78</v>
      </c>
      <c r="H6" s="11" t="s">
        <v>203</v>
      </c>
    </row>
    <row r="7" customFormat="false" ht="45.75" hidden="false" customHeight="true" outlineLevel="0" collapsed="false">
      <c r="A7" s="11" t="s">
        <v>329</v>
      </c>
      <c r="B7" s="12" t="s">
        <v>313</v>
      </c>
      <c r="C7" s="12" t="s">
        <v>330</v>
      </c>
      <c r="D7" s="12" t="s">
        <v>331</v>
      </c>
      <c r="E7" s="12" t="s">
        <v>332</v>
      </c>
      <c r="F7" s="13"/>
      <c r="G7" s="14" t="s">
        <v>78</v>
      </c>
      <c r="H7" s="11" t="s">
        <v>203</v>
      </c>
    </row>
    <row r="8" customFormat="false" ht="45.75" hidden="false" customHeight="true" outlineLevel="0" collapsed="false">
      <c r="A8" s="11" t="s">
        <v>333</v>
      </c>
      <c r="B8" s="12" t="s">
        <v>313</v>
      </c>
      <c r="C8" s="12" t="s">
        <v>334</v>
      </c>
      <c r="D8" s="12" t="s">
        <v>335</v>
      </c>
      <c r="E8" s="12" t="s">
        <v>336</v>
      </c>
      <c r="F8" s="13"/>
      <c r="G8" s="15" t="s">
        <v>89</v>
      </c>
      <c r="H8" s="11" t="s">
        <v>203</v>
      </c>
    </row>
    <row r="9" customFormat="false" ht="45.75" hidden="false" customHeight="true" outlineLevel="0" collapsed="false">
      <c r="A9" s="11" t="s">
        <v>337</v>
      </c>
      <c r="B9" s="12" t="s">
        <v>313</v>
      </c>
      <c r="C9" s="12" t="s">
        <v>338</v>
      </c>
      <c r="D9" s="12" t="s">
        <v>339</v>
      </c>
      <c r="E9" s="12" t="s">
        <v>340</v>
      </c>
      <c r="F9" s="13"/>
      <c r="G9" s="11" t="s">
        <v>248</v>
      </c>
      <c r="H9" s="11" t="s">
        <v>203</v>
      </c>
    </row>
    <row r="10" customFormat="false" ht="45.75" hidden="false" customHeight="true" outlineLevel="0" collapsed="false">
      <c r="A10" s="11" t="s">
        <v>341</v>
      </c>
      <c r="B10" s="12" t="s">
        <v>342</v>
      </c>
      <c r="C10" s="12" t="s">
        <v>343</v>
      </c>
      <c r="D10" s="12" t="s">
        <v>344</v>
      </c>
      <c r="E10" s="12" t="s">
        <v>345</v>
      </c>
      <c r="F10" s="13"/>
      <c r="G10" s="15" t="s">
        <v>89</v>
      </c>
      <c r="H10" s="11" t="s">
        <v>84</v>
      </c>
    </row>
    <row r="11" customFormat="false" ht="45.75" hidden="false" customHeight="true" outlineLevel="0" collapsed="false">
      <c r="A11" s="11" t="s">
        <v>346</v>
      </c>
      <c r="B11" s="12" t="s">
        <v>342</v>
      </c>
      <c r="C11" s="12" t="s">
        <v>347</v>
      </c>
      <c r="D11" s="12" t="s">
        <v>348</v>
      </c>
      <c r="E11" s="12" t="s">
        <v>349</v>
      </c>
      <c r="F11" s="13"/>
      <c r="G11" s="15" t="s">
        <v>89</v>
      </c>
      <c r="H11" s="11" t="s">
        <v>84</v>
      </c>
    </row>
    <row r="12" customFormat="false" ht="45.75" hidden="false" customHeight="true" outlineLevel="0" collapsed="false">
      <c r="A12" s="11" t="s">
        <v>350</v>
      </c>
      <c r="B12" s="12" t="s">
        <v>351</v>
      </c>
      <c r="C12" s="12" t="s">
        <v>352</v>
      </c>
      <c r="D12" s="12" t="s">
        <v>353</v>
      </c>
      <c r="E12" s="12" t="s">
        <v>354</v>
      </c>
      <c r="F12" s="13"/>
      <c r="G12" s="14" t="s">
        <v>78</v>
      </c>
      <c r="H12" s="11" t="s">
        <v>84</v>
      </c>
    </row>
    <row r="13" customFormat="false" ht="45.75" hidden="false" customHeight="true" outlineLevel="0" collapsed="false">
      <c r="A13" s="11" t="s">
        <v>355</v>
      </c>
      <c r="B13" s="12" t="s">
        <v>351</v>
      </c>
      <c r="C13" s="12" t="s">
        <v>356</v>
      </c>
      <c r="D13" s="12" t="s">
        <v>357</v>
      </c>
      <c r="E13" s="12" t="s">
        <v>358</v>
      </c>
      <c r="F13" s="13"/>
      <c r="G13" s="14" t="s">
        <v>78</v>
      </c>
      <c r="H13" s="11" t="s">
        <v>203</v>
      </c>
    </row>
    <row r="14" customFormat="false" ht="45.75" hidden="false" customHeight="true" outlineLevel="0" collapsed="false">
      <c r="A14" s="11" t="s">
        <v>359</v>
      </c>
      <c r="B14" s="12" t="s">
        <v>360</v>
      </c>
      <c r="C14" s="12" t="s">
        <v>361</v>
      </c>
      <c r="D14" s="12" t="s">
        <v>362</v>
      </c>
      <c r="E14" s="12" t="s">
        <v>363</v>
      </c>
      <c r="F14" s="13"/>
      <c r="G14" s="15" t="s">
        <v>89</v>
      </c>
      <c r="H14" s="11" t="s">
        <v>203</v>
      </c>
    </row>
    <row r="15" customFormat="false" ht="45.75" hidden="false" customHeight="true" outlineLevel="0" collapsed="false">
      <c r="A15" s="11" t="s">
        <v>364</v>
      </c>
      <c r="B15" s="12" t="s">
        <v>360</v>
      </c>
      <c r="C15" s="12" t="s">
        <v>365</v>
      </c>
      <c r="D15" s="12" t="s">
        <v>366</v>
      </c>
      <c r="E15" s="12" t="s">
        <v>367</v>
      </c>
      <c r="F15" s="13"/>
      <c r="G15" s="15" t="s">
        <v>89</v>
      </c>
      <c r="H15" s="11" t="s">
        <v>203</v>
      </c>
    </row>
    <row r="16" customFormat="false" ht="45.75" hidden="false" customHeight="true" outlineLevel="0" collapsed="false">
      <c r="A16" s="11" t="s">
        <v>368</v>
      </c>
      <c r="B16" s="12" t="s">
        <v>360</v>
      </c>
      <c r="C16" s="12" t="s">
        <v>369</v>
      </c>
      <c r="D16" s="12" t="s">
        <v>370</v>
      </c>
      <c r="E16" s="12" t="s">
        <v>371</v>
      </c>
      <c r="F16" s="13"/>
      <c r="G16" s="15" t="s">
        <v>89</v>
      </c>
      <c r="H16" s="11" t="s">
        <v>84</v>
      </c>
    </row>
    <row r="17" customFormat="false" ht="45.75" hidden="false" customHeight="true" outlineLevel="0" collapsed="false">
      <c r="A17" s="11" t="s">
        <v>372</v>
      </c>
      <c r="B17" s="12" t="s">
        <v>373</v>
      </c>
      <c r="C17" s="12" t="s">
        <v>374</v>
      </c>
      <c r="D17" s="12" t="s">
        <v>375</v>
      </c>
      <c r="E17" s="12" t="s">
        <v>376</v>
      </c>
      <c r="F17" s="13"/>
      <c r="G17" s="11" t="s">
        <v>248</v>
      </c>
      <c r="H17" s="11" t="s">
        <v>84</v>
      </c>
    </row>
  </sheetData>
  <autoFilter ref="A2:H17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377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378</v>
      </c>
      <c r="B3" s="12" t="s">
        <v>379</v>
      </c>
      <c r="C3" s="12" t="s">
        <v>380</v>
      </c>
      <c r="D3" s="12" t="s">
        <v>381</v>
      </c>
      <c r="E3" s="12" t="s">
        <v>382</v>
      </c>
      <c r="F3" s="13"/>
      <c r="G3" s="14" t="s">
        <v>78</v>
      </c>
      <c r="H3" s="11" t="s">
        <v>383</v>
      </c>
    </row>
    <row r="4" customFormat="false" ht="45.75" hidden="false" customHeight="true" outlineLevel="0" collapsed="false">
      <c r="A4" s="11" t="s">
        <v>384</v>
      </c>
      <c r="B4" s="12" t="s">
        <v>379</v>
      </c>
      <c r="C4" s="12" t="s">
        <v>385</v>
      </c>
      <c r="D4" s="12" t="s">
        <v>386</v>
      </c>
      <c r="E4" s="12" t="s">
        <v>387</v>
      </c>
      <c r="F4" s="13"/>
      <c r="G4" s="15" t="s">
        <v>89</v>
      </c>
      <c r="H4" s="11" t="s">
        <v>383</v>
      </c>
    </row>
    <row r="5" customFormat="false" ht="45.75" hidden="false" customHeight="true" outlineLevel="0" collapsed="false">
      <c r="A5" s="11" t="s">
        <v>388</v>
      </c>
      <c r="B5" s="12" t="s">
        <v>379</v>
      </c>
      <c r="C5" s="12" t="s">
        <v>389</v>
      </c>
      <c r="D5" s="12" t="s">
        <v>390</v>
      </c>
      <c r="E5" s="12" t="s">
        <v>391</v>
      </c>
      <c r="F5" s="13"/>
      <c r="G5" s="14" t="s">
        <v>78</v>
      </c>
      <c r="H5" s="11" t="s">
        <v>108</v>
      </c>
    </row>
    <row r="6" customFormat="false" ht="45.75" hidden="false" customHeight="true" outlineLevel="0" collapsed="false">
      <c r="A6" s="11" t="s">
        <v>392</v>
      </c>
      <c r="B6" s="12" t="s">
        <v>379</v>
      </c>
      <c r="C6" s="12" t="s">
        <v>393</v>
      </c>
      <c r="D6" s="12" t="s">
        <v>394</v>
      </c>
      <c r="E6" s="12" t="s">
        <v>395</v>
      </c>
      <c r="F6" s="13"/>
      <c r="G6" s="14" t="s">
        <v>78</v>
      </c>
      <c r="H6" s="11" t="s">
        <v>84</v>
      </c>
    </row>
    <row r="7" customFormat="false" ht="45.75" hidden="false" customHeight="true" outlineLevel="0" collapsed="false">
      <c r="A7" s="11" t="s">
        <v>396</v>
      </c>
      <c r="B7" s="12" t="s">
        <v>397</v>
      </c>
      <c r="C7" s="12" t="s">
        <v>398</v>
      </c>
      <c r="D7" s="12" t="s">
        <v>399</v>
      </c>
      <c r="E7" s="12" t="s">
        <v>400</v>
      </c>
      <c r="F7" s="13"/>
      <c r="G7" s="14" t="s">
        <v>78</v>
      </c>
      <c r="H7" s="11" t="s">
        <v>383</v>
      </c>
    </row>
    <row r="8" customFormat="false" ht="45.75" hidden="false" customHeight="true" outlineLevel="0" collapsed="false">
      <c r="A8" s="11" t="s">
        <v>401</v>
      </c>
      <c r="B8" s="12" t="s">
        <v>397</v>
      </c>
      <c r="C8" s="12" t="s">
        <v>402</v>
      </c>
      <c r="D8" s="12" t="s">
        <v>403</v>
      </c>
      <c r="E8" s="12" t="s">
        <v>404</v>
      </c>
      <c r="F8" s="13"/>
      <c r="G8" s="14" t="s">
        <v>78</v>
      </c>
      <c r="H8" s="11" t="s">
        <v>383</v>
      </c>
    </row>
    <row r="9" customFormat="false" ht="45.75" hidden="false" customHeight="true" outlineLevel="0" collapsed="false">
      <c r="A9" s="11" t="s">
        <v>405</v>
      </c>
      <c r="B9" s="12" t="s">
        <v>397</v>
      </c>
      <c r="C9" s="12" t="s">
        <v>406</v>
      </c>
      <c r="D9" s="12" t="s">
        <v>407</v>
      </c>
      <c r="E9" s="12" t="s">
        <v>408</v>
      </c>
      <c r="F9" s="13"/>
      <c r="G9" s="14" t="s">
        <v>78</v>
      </c>
      <c r="H9" s="11" t="s">
        <v>84</v>
      </c>
    </row>
    <row r="10" customFormat="false" ht="45.75" hidden="false" customHeight="true" outlineLevel="0" collapsed="false">
      <c r="A10" s="11" t="s">
        <v>409</v>
      </c>
      <c r="B10" s="12" t="s">
        <v>397</v>
      </c>
      <c r="C10" s="12" t="s">
        <v>410</v>
      </c>
      <c r="D10" s="12" t="s">
        <v>411</v>
      </c>
      <c r="E10" s="12" t="s">
        <v>412</v>
      </c>
      <c r="F10" s="13"/>
      <c r="G10" s="15" t="s">
        <v>89</v>
      </c>
      <c r="H10" s="11" t="s">
        <v>383</v>
      </c>
    </row>
    <row r="11" customFormat="false" ht="45.75" hidden="false" customHeight="true" outlineLevel="0" collapsed="false">
      <c r="A11" s="11" t="s">
        <v>413</v>
      </c>
      <c r="B11" s="12" t="s">
        <v>414</v>
      </c>
      <c r="C11" s="12" t="s">
        <v>415</v>
      </c>
      <c r="D11" s="12" t="s">
        <v>416</v>
      </c>
      <c r="E11" s="12" t="s">
        <v>417</v>
      </c>
      <c r="F11" s="13"/>
      <c r="G11" s="14" t="s">
        <v>78</v>
      </c>
      <c r="H11" s="11" t="s">
        <v>108</v>
      </c>
    </row>
    <row r="12" customFormat="false" ht="45.75" hidden="false" customHeight="true" outlineLevel="0" collapsed="false">
      <c r="A12" s="11" t="s">
        <v>418</v>
      </c>
      <c r="B12" s="12" t="s">
        <v>414</v>
      </c>
      <c r="C12" s="12" t="s">
        <v>419</v>
      </c>
      <c r="D12" s="12" t="s">
        <v>420</v>
      </c>
      <c r="E12" s="12" t="s">
        <v>421</v>
      </c>
      <c r="F12" s="13"/>
      <c r="G12" s="14" t="s">
        <v>78</v>
      </c>
      <c r="H12" s="11" t="s">
        <v>383</v>
      </c>
    </row>
    <row r="13" customFormat="false" ht="45.75" hidden="false" customHeight="true" outlineLevel="0" collapsed="false">
      <c r="A13" s="11" t="s">
        <v>422</v>
      </c>
      <c r="B13" s="12" t="s">
        <v>414</v>
      </c>
      <c r="C13" s="12" t="s">
        <v>423</v>
      </c>
      <c r="D13" s="12" t="s">
        <v>424</v>
      </c>
      <c r="E13" s="12" t="s">
        <v>425</v>
      </c>
      <c r="F13" s="13"/>
      <c r="G13" s="15" t="s">
        <v>89</v>
      </c>
      <c r="H13" s="11" t="s">
        <v>84</v>
      </c>
    </row>
    <row r="14" customFormat="false" ht="45.75" hidden="false" customHeight="true" outlineLevel="0" collapsed="false">
      <c r="A14" s="11" t="s">
        <v>426</v>
      </c>
      <c r="B14" s="12" t="s">
        <v>414</v>
      </c>
      <c r="C14" s="12" t="s">
        <v>427</v>
      </c>
      <c r="D14" s="12" t="s">
        <v>428</v>
      </c>
      <c r="E14" s="12" t="s">
        <v>429</v>
      </c>
      <c r="F14" s="13"/>
      <c r="G14" s="15" t="s">
        <v>89</v>
      </c>
      <c r="H14" s="11" t="s">
        <v>84</v>
      </c>
    </row>
    <row r="15" customFormat="false" ht="45.75" hidden="false" customHeight="true" outlineLevel="0" collapsed="false">
      <c r="A15" s="11" t="s">
        <v>430</v>
      </c>
      <c r="B15" s="12" t="s">
        <v>431</v>
      </c>
      <c r="C15" s="12" t="s">
        <v>432</v>
      </c>
      <c r="D15" s="12" t="s">
        <v>433</v>
      </c>
      <c r="E15" s="12" t="s">
        <v>434</v>
      </c>
      <c r="F15" s="13"/>
      <c r="G15" s="15" t="s">
        <v>89</v>
      </c>
      <c r="H15" s="11" t="s">
        <v>383</v>
      </c>
    </row>
    <row r="16" customFormat="false" ht="45.75" hidden="false" customHeight="true" outlineLevel="0" collapsed="false">
      <c r="A16" s="11" t="s">
        <v>435</v>
      </c>
      <c r="B16" s="12" t="s">
        <v>431</v>
      </c>
      <c r="C16" s="12" t="s">
        <v>436</v>
      </c>
      <c r="D16" s="12" t="s">
        <v>437</v>
      </c>
      <c r="E16" s="12" t="s">
        <v>438</v>
      </c>
      <c r="F16" s="13"/>
      <c r="G16" s="11" t="s">
        <v>248</v>
      </c>
      <c r="H16" s="11" t="s">
        <v>84</v>
      </c>
    </row>
    <row r="17" customFormat="false" ht="45.75" hidden="false" customHeight="true" outlineLevel="0" collapsed="false">
      <c r="A17" s="11" t="s">
        <v>439</v>
      </c>
      <c r="B17" s="12" t="s">
        <v>440</v>
      </c>
      <c r="C17" s="12" t="s">
        <v>441</v>
      </c>
      <c r="D17" s="12" t="s">
        <v>442</v>
      </c>
      <c r="E17" s="12" t="s">
        <v>443</v>
      </c>
      <c r="F17" s="13"/>
      <c r="G17" s="15" t="s">
        <v>89</v>
      </c>
      <c r="H17" s="11" t="s">
        <v>254</v>
      </c>
    </row>
  </sheetData>
  <autoFilter ref="A2:H17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444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445</v>
      </c>
      <c r="B3" s="12" t="s">
        <v>446</v>
      </c>
      <c r="C3" s="12" t="s">
        <v>447</v>
      </c>
      <c r="D3" s="12" t="s">
        <v>448</v>
      </c>
      <c r="E3" s="12" t="s">
        <v>449</v>
      </c>
      <c r="F3" s="13"/>
      <c r="G3" s="14" t="s">
        <v>78</v>
      </c>
      <c r="H3" s="11" t="s">
        <v>95</v>
      </c>
    </row>
    <row r="4" customFormat="false" ht="45.75" hidden="false" customHeight="true" outlineLevel="0" collapsed="false">
      <c r="A4" s="11" t="s">
        <v>450</v>
      </c>
      <c r="B4" s="12" t="s">
        <v>446</v>
      </c>
      <c r="C4" s="12" t="s">
        <v>451</v>
      </c>
      <c r="D4" s="12" t="s">
        <v>452</v>
      </c>
      <c r="E4" s="12" t="s">
        <v>453</v>
      </c>
      <c r="F4" s="13"/>
      <c r="G4" s="14" t="s">
        <v>78</v>
      </c>
      <c r="H4" s="11" t="s">
        <v>108</v>
      </c>
    </row>
    <row r="5" customFormat="false" ht="45.75" hidden="false" customHeight="true" outlineLevel="0" collapsed="false">
      <c r="A5" s="11" t="s">
        <v>454</v>
      </c>
      <c r="B5" s="12" t="s">
        <v>446</v>
      </c>
      <c r="C5" s="12" t="s">
        <v>455</v>
      </c>
      <c r="D5" s="12" t="s">
        <v>456</v>
      </c>
      <c r="E5" s="12" t="s">
        <v>457</v>
      </c>
      <c r="F5" s="13"/>
      <c r="G5" s="14" t="s">
        <v>78</v>
      </c>
      <c r="H5" s="11" t="s">
        <v>84</v>
      </c>
    </row>
    <row r="6" customFormat="false" ht="45.75" hidden="false" customHeight="true" outlineLevel="0" collapsed="false">
      <c r="A6" s="11" t="s">
        <v>458</v>
      </c>
      <c r="B6" s="12" t="s">
        <v>459</v>
      </c>
      <c r="C6" s="12" t="s">
        <v>460</v>
      </c>
      <c r="D6" s="12" t="s">
        <v>461</v>
      </c>
      <c r="E6" s="12" t="s">
        <v>462</v>
      </c>
      <c r="F6" s="13"/>
      <c r="G6" s="15" t="s">
        <v>89</v>
      </c>
      <c r="H6" s="11" t="s">
        <v>108</v>
      </c>
    </row>
    <row r="7" customFormat="false" ht="45.75" hidden="false" customHeight="true" outlineLevel="0" collapsed="false">
      <c r="A7" s="11" t="s">
        <v>463</v>
      </c>
      <c r="B7" s="12" t="s">
        <v>459</v>
      </c>
      <c r="C7" s="12" t="s">
        <v>464</v>
      </c>
      <c r="D7" s="12" t="s">
        <v>465</v>
      </c>
      <c r="E7" s="12" t="s">
        <v>466</v>
      </c>
      <c r="F7" s="13"/>
      <c r="G7" s="14" t="s">
        <v>78</v>
      </c>
      <c r="H7" s="11" t="s">
        <v>108</v>
      </c>
    </row>
    <row r="8" customFormat="false" ht="45.75" hidden="false" customHeight="true" outlineLevel="0" collapsed="false">
      <c r="A8" s="11" t="s">
        <v>467</v>
      </c>
      <c r="B8" s="12" t="s">
        <v>459</v>
      </c>
      <c r="C8" s="12" t="s">
        <v>468</v>
      </c>
      <c r="D8" s="12" t="s">
        <v>469</v>
      </c>
      <c r="E8" s="12" t="s">
        <v>470</v>
      </c>
      <c r="F8" s="13"/>
      <c r="G8" s="14" t="s">
        <v>78</v>
      </c>
      <c r="H8" s="11" t="s">
        <v>108</v>
      </c>
    </row>
    <row r="9" customFormat="false" ht="45.75" hidden="false" customHeight="true" outlineLevel="0" collapsed="false">
      <c r="A9" s="11" t="s">
        <v>471</v>
      </c>
      <c r="B9" s="12" t="s">
        <v>459</v>
      </c>
      <c r="C9" s="12" t="s">
        <v>472</v>
      </c>
      <c r="D9" s="12" t="s">
        <v>473</v>
      </c>
      <c r="E9" s="12" t="s">
        <v>474</v>
      </c>
      <c r="F9" s="13"/>
      <c r="G9" s="14" t="s">
        <v>78</v>
      </c>
      <c r="H9" s="11" t="s">
        <v>84</v>
      </c>
    </row>
    <row r="10" customFormat="false" ht="45.75" hidden="false" customHeight="true" outlineLevel="0" collapsed="false">
      <c r="A10" s="11" t="s">
        <v>475</v>
      </c>
      <c r="B10" s="12" t="s">
        <v>459</v>
      </c>
      <c r="C10" s="12" t="s">
        <v>476</v>
      </c>
      <c r="D10" s="12" t="s">
        <v>477</v>
      </c>
      <c r="E10" s="12" t="s">
        <v>478</v>
      </c>
      <c r="F10" s="13"/>
      <c r="G10" s="14" t="s">
        <v>78</v>
      </c>
      <c r="H10" s="11" t="s">
        <v>84</v>
      </c>
    </row>
    <row r="11" customFormat="false" ht="45.75" hidden="false" customHeight="true" outlineLevel="0" collapsed="false">
      <c r="A11" s="11" t="s">
        <v>479</v>
      </c>
      <c r="B11" s="12" t="s">
        <v>205</v>
      </c>
      <c r="C11" s="12" t="s">
        <v>480</v>
      </c>
      <c r="D11" s="12" t="s">
        <v>481</v>
      </c>
      <c r="E11" s="12" t="s">
        <v>482</v>
      </c>
      <c r="F11" s="13"/>
      <c r="G11" s="14" t="s">
        <v>78</v>
      </c>
      <c r="H11" s="11" t="s">
        <v>108</v>
      </c>
    </row>
    <row r="12" customFormat="false" ht="45.75" hidden="false" customHeight="true" outlineLevel="0" collapsed="false">
      <c r="A12" s="11" t="s">
        <v>483</v>
      </c>
      <c r="B12" s="12" t="s">
        <v>205</v>
      </c>
      <c r="C12" s="12" t="s">
        <v>484</v>
      </c>
      <c r="D12" s="12" t="s">
        <v>485</v>
      </c>
      <c r="E12" s="12" t="s">
        <v>486</v>
      </c>
      <c r="F12" s="13"/>
      <c r="G12" s="14" t="s">
        <v>78</v>
      </c>
      <c r="H12" s="11" t="s">
        <v>108</v>
      </c>
    </row>
    <row r="13" customFormat="false" ht="45.75" hidden="false" customHeight="true" outlineLevel="0" collapsed="false">
      <c r="A13" s="11" t="s">
        <v>487</v>
      </c>
      <c r="B13" s="12" t="s">
        <v>488</v>
      </c>
      <c r="C13" s="12" t="s">
        <v>489</v>
      </c>
      <c r="D13" s="12" t="s">
        <v>490</v>
      </c>
      <c r="E13" s="12" t="s">
        <v>491</v>
      </c>
      <c r="F13" s="13"/>
      <c r="G13" s="14" t="s">
        <v>78</v>
      </c>
      <c r="H13" s="11" t="s">
        <v>84</v>
      </c>
    </row>
    <row r="14" customFormat="false" ht="45.75" hidden="false" customHeight="true" outlineLevel="0" collapsed="false">
      <c r="A14" s="11" t="s">
        <v>492</v>
      </c>
      <c r="B14" s="12" t="s">
        <v>488</v>
      </c>
      <c r="C14" s="12" t="s">
        <v>493</v>
      </c>
      <c r="D14" s="12" t="s">
        <v>494</v>
      </c>
      <c r="E14" s="12" t="s">
        <v>495</v>
      </c>
      <c r="F14" s="13"/>
      <c r="G14" s="15" t="s">
        <v>89</v>
      </c>
      <c r="H14" s="11" t="s">
        <v>84</v>
      </c>
    </row>
    <row r="15" customFormat="false" ht="45.75" hidden="false" customHeight="true" outlineLevel="0" collapsed="false">
      <c r="A15" s="11" t="s">
        <v>496</v>
      </c>
      <c r="B15" s="12" t="s">
        <v>142</v>
      </c>
      <c r="C15" s="12" t="s">
        <v>497</v>
      </c>
      <c r="D15" s="12" t="s">
        <v>498</v>
      </c>
      <c r="E15" s="12" t="s">
        <v>499</v>
      </c>
      <c r="F15" s="13"/>
      <c r="G15" s="15" t="s">
        <v>89</v>
      </c>
      <c r="H15" s="11" t="s">
        <v>95</v>
      </c>
    </row>
    <row r="16" customFormat="false" ht="45.75" hidden="false" customHeight="true" outlineLevel="0" collapsed="false">
      <c r="A16" s="11" t="s">
        <v>500</v>
      </c>
      <c r="B16" s="12" t="s">
        <v>142</v>
      </c>
      <c r="C16" s="12" t="s">
        <v>501</v>
      </c>
      <c r="D16" s="12" t="s">
        <v>502</v>
      </c>
      <c r="E16" s="12" t="s">
        <v>503</v>
      </c>
      <c r="F16" s="13"/>
      <c r="G16" s="14" t="s">
        <v>78</v>
      </c>
      <c r="H16" s="11" t="s">
        <v>108</v>
      </c>
    </row>
  </sheetData>
  <autoFilter ref="A2:H16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504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505</v>
      </c>
      <c r="B3" s="12" t="s">
        <v>506</v>
      </c>
      <c r="C3" s="12" t="s">
        <v>507</v>
      </c>
      <c r="D3" s="12" t="s">
        <v>508</v>
      </c>
      <c r="E3" s="12" t="s">
        <v>509</v>
      </c>
      <c r="F3" s="13"/>
      <c r="G3" s="14" t="s">
        <v>78</v>
      </c>
      <c r="H3" s="11" t="s">
        <v>254</v>
      </c>
    </row>
    <row r="4" customFormat="false" ht="45.75" hidden="false" customHeight="true" outlineLevel="0" collapsed="false">
      <c r="A4" s="11" t="s">
        <v>510</v>
      </c>
      <c r="B4" s="12" t="s">
        <v>506</v>
      </c>
      <c r="C4" s="12" t="s">
        <v>511</v>
      </c>
      <c r="D4" s="12" t="s">
        <v>512</v>
      </c>
      <c r="E4" s="12" t="s">
        <v>513</v>
      </c>
      <c r="F4" s="13"/>
      <c r="G4" s="14" t="s">
        <v>78</v>
      </c>
      <c r="H4" s="11" t="s">
        <v>84</v>
      </c>
    </row>
    <row r="5" customFormat="false" ht="45.75" hidden="false" customHeight="true" outlineLevel="0" collapsed="false">
      <c r="A5" s="11" t="s">
        <v>514</v>
      </c>
      <c r="B5" s="12" t="s">
        <v>459</v>
      </c>
      <c r="C5" s="12" t="s">
        <v>515</v>
      </c>
      <c r="D5" s="12" t="s">
        <v>516</v>
      </c>
      <c r="E5" s="12" t="s">
        <v>517</v>
      </c>
      <c r="F5" s="13"/>
      <c r="G5" s="14" t="s">
        <v>78</v>
      </c>
      <c r="H5" s="11" t="s">
        <v>254</v>
      </c>
    </row>
    <row r="6" customFormat="false" ht="45.75" hidden="false" customHeight="true" outlineLevel="0" collapsed="false">
      <c r="A6" s="11" t="s">
        <v>518</v>
      </c>
      <c r="B6" s="12" t="s">
        <v>459</v>
      </c>
      <c r="C6" s="12" t="s">
        <v>519</v>
      </c>
      <c r="D6" s="12" t="s">
        <v>520</v>
      </c>
      <c r="E6" s="12" t="s">
        <v>521</v>
      </c>
      <c r="F6" s="13"/>
      <c r="G6" s="14" t="s">
        <v>78</v>
      </c>
      <c r="H6" s="11" t="s">
        <v>254</v>
      </c>
    </row>
    <row r="7" customFormat="false" ht="45.75" hidden="false" customHeight="true" outlineLevel="0" collapsed="false">
      <c r="A7" s="11" t="s">
        <v>522</v>
      </c>
      <c r="B7" s="12" t="s">
        <v>459</v>
      </c>
      <c r="C7" s="12" t="s">
        <v>523</v>
      </c>
      <c r="D7" s="12" t="s">
        <v>524</v>
      </c>
      <c r="E7" s="12" t="s">
        <v>525</v>
      </c>
      <c r="F7" s="13"/>
      <c r="G7" s="15" t="s">
        <v>89</v>
      </c>
      <c r="H7" s="11" t="s">
        <v>254</v>
      </c>
    </row>
    <row r="8" customFormat="false" ht="45.75" hidden="false" customHeight="true" outlineLevel="0" collapsed="false">
      <c r="A8" s="11" t="s">
        <v>526</v>
      </c>
      <c r="B8" s="12" t="s">
        <v>527</v>
      </c>
      <c r="C8" s="12" t="s">
        <v>528</v>
      </c>
      <c r="D8" s="12" t="s">
        <v>529</v>
      </c>
      <c r="E8" s="12" t="s">
        <v>530</v>
      </c>
      <c r="F8" s="13"/>
      <c r="G8" s="14" t="s">
        <v>78</v>
      </c>
      <c r="H8" s="11" t="s">
        <v>254</v>
      </c>
    </row>
    <row r="9" customFormat="false" ht="45.75" hidden="false" customHeight="true" outlineLevel="0" collapsed="false">
      <c r="A9" s="11" t="s">
        <v>531</v>
      </c>
      <c r="B9" s="12" t="s">
        <v>527</v>
      </c>
      <c r="C9" s="12" t="s">
        <v>532</v>
      </c>
      <c r="D9" s="12" t="s">
        <v>533</v>
      </c>
      <c r="E9" s="12" t="s">
        <v>534</v>
      </c>
      <c r="F9" s="13"/>
      <c r="G9" s="14" t="s">
        <v>78</v>
      </c>
      <c r="H9" s="11" t="s">
        <v>254</v>
      </c>
    </row>
    <row r="10" customFormat="false" ht="45.75" hidden="false" customHeight="true" outlineLevel="0" collapsed="false">
      <c r="A10" s="11" t="s">
        <v>535</v>
      </c>
      <c r="B10" s="12" t="s">
        <v>536</v>
      </c>
      <c r="C10" s="12" t="s">
        <v>537</v>
      </c>
      <c r="D10" s="12" t="s">
        <v>538</v>
      </c>
      <c r="E10" s="12" t="s">
        <v>539</v>
      </c>
      <c r="F10" s="13"/>
      <c r="G10" s="11" t="s">
        <v>248</v>
      </c>
      <c r="H10" s="11" t="s">
        <v>254</v>
      </c>
    </row>
    <row r="11" customFormat="false" ht="45.75" hidden="false" customHeight="true" outlineLevel="0" collapsed="false">
      <c r="A11" s="11" t="s">
        <v>540</v>
      </c>
      <c r="B11" s="12" t="s">
        <v>541</v>
      </c>
      <c r="C11" s="12" t="s">
        <v>542</v>
      </c>
      <c r="D11" s="12" t="s">
        <v>543</v>
      </c>
      <c r="E11" s="12" t="s">
        <v>544</v>
      </c>
      <c r="F11" s="13"/>
      <c r="G11" s="11" t="s">
        <v>248</v>
      </c>
      <c r="H11" s="11" t="s">
        <v>254</v>
      </c>
    </row>
    <row r="12" customFormat="false" ht="45.75" hidden="false" customHeight="true" outlineLevel="0" collapsed="false">
      <c r="A12" s="11" t="s">
        <v>545</v>
      </c>
      <c r="B12" s="12" t="s">
        <v>546</v>
      </c>
      <c r="C12" s="12" t="s">
        <v>547</v>
      </c>
      <c r="D12" s="12" t="s">
        <v>548</v>
      </c>
      <c r="E12" s="12" t="s">
        <v>549</v>
      </c>
      <c r="F12" s="13"/>
      <c r="G12" s="15" t="s">
        <v>89</v>
      </c>
      <c r="H12" s="11" t="s">
        <v>254</v>
      </c>
    </row>
  </sheetData>
  <autoFilter ref="A2:H1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550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551</v>
      </c>
      <c r="B3" s="12" t="s">
        <v>91</v>
      </c>
      <c r="C3" s="12" t="s">
        <v>552</v>
      </c>
      <c r="D3" s="12" t="s">
        <v>553</v>
      </c>
      <c r="E3" s="12" t="s">
        <v>554</v>
      </c>
      <c r="F3" s="13"/>
      <c r="G3" s="15" t="s">
        <v>89</v>
      </c>
      <c r="H3" s="11" t="s">
        <v>84</v>
      </c>
    </row>
    <row r="4" customFormat="false" ht="45.75" hidden="false" customHeight="true" outlineLevel="0" collapsed="false">
      <c r="A4" s="11" t="s">
        <v>555</v>
      </c>
      <c r="B4" s="12" t="s">
        <v>556</v>
      </c>
      <c r="C4" s="12" t="s">
        <v>557</v>
      </c>
      <c r="D4" s="12" t="s">
        <v>558</v>
      </c>
      <c r="E4" s="12" t="s">
        <v>559</v>
      </c>
      <c r="F4" s="13"/>
      <c r="G4" s="15" t="s">
        <v>89</v>
      </c>
      <c r="H4" s="11" t="s">
        <v>84</v>
      </c>
    </row>
    <row r="5" customFormat="false" ht="45.75" hidden="false" customHeight="true" outlineLevel="0" collapsed="false">
      <c r="A5" s="11" t="s">
        <v>560</v>
      </c>
      <c r="B5" s="12" t="s">
        <v>561</v>
      </c>
      <c r="C5" s="12" t="s">
        <v>562</v>
      </c>
      <c r="D5" s="12" t="s">
        <v>563</v>
      </c>
      <c r="E5" s="12" t="s">
        <v>564</v>
      </c>
      <c r="F5" s="13"/>
      <c r="G5" s="15" t="s">
        <v>89</v>
      </c>
      <c r="H5" s="11" t="s">
        <v>84</v>
      </c>
    </row>
    <row r="6" customFormat="false" ht="45.75" hidden="false" customHeight="true" outlineLevel="0" collapsed="false">
      <c r="A6" s="11" t="s">
        <v>565</v>
      </c>
      <c r="B6" s="12" t="s">
        <v>566</v>
      </c>
      <c r="C6" s="12" t="s">
        <v>567</v>
      </c>
      <c r="D6" s="12" t="s">
        <v>568</v>
      </c>
      <c r="E6" s="12" t="s">
        <v>569</v>
      </c>
      <c r="F6" s="13"/>
      <c r="G6" s="15" t="s">
        <v>89</v>
      </c>
      <c r="H6" s="11" t="s">
        <v>84</v>
      </c>
    </row>
    <row r="7" customFormat="false" ht="45.75" hidden="false" customHeight="true" outlineLevel="0" collapsed="false">
      <c r="A7" s="11" t="s">
        <v>570</v>
      </c>
      <c r="B7" s="12" t="s">
        <v>488</v>
      </c>
      <c r="C7" s="12" t="s">
        <v>571</v>
      </c>
      <c r="D7" s="12" t="s">
        <v>572</v>
      </c>
      <c r="E7" s="12" t="s">
        <v>573</v>
      </c>
      <c r="F7" s="13"/>
      <c r="G7" s="15" t="s">
        <v>89</v>
      </c>
      <c r="H7" s="11" t="s">
        <v>84</v>
      </c>
    </row>
    <row r="8" customFormat="false" ht="45.75" hidden="false" customHeight="true" outlineLevel="0" collapsed="false">
      <c r="A8" s="11" t="s">
        <v>574</v>
      </c>
      <c r="B8" s="12" t="s">
        <v>575</v>
      </c>
      <c r="C8" s="12" t="s">
        <v>576</v>
      </c>
      <c r="D8" s="12" t="s">
        <v>577</v>
      </c>
      <c r="E8" s="12" t="s">
        <v>578</v>
      </c>
      <c r="F8" s="13"/>
      <c r="G8" s="11" t="s">
        <v>248</v>
      </c>
      <c r="H8" s="11" t="s">
        <v>84</v>
      </c>
    </row>
  </sheetData>
  <autoFilter ref="A2:H8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579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580</v>
      </c>
      <c r="B3" s="12" t="s">
        <v>581</v>
      </c>
      <c r="C3" s="12" t="s">
        <v>582</v>
      </c>
      <c r="D3" s="12" t="s">
        <v>583</v>
      </c>
      <c r="E3" s="12" t="s">
        <v>584</v>
      </c>
      <c r="F3" s="13"/>
      <c r="G3" s="14" t="s">
        <v>78</v>
      </c>
      <c r="H3" s="11" t="s">
        <v>84</v>
      </c>
    </row>
    <row r="4" customFormat="false" ht="45.75" hidden="false" customHeight="true" outlineLevel="0" collapsed="false">
      <c r="A4" s="11" t="s">
        <v>585</v>
      </c>
      <c r="B4" s="12" t="s">
        <v>581</v>
      </c>
      <c r="C4" s="12" t="s">
        <v>586</v>
      </c>
      <c r="D4" s="12" t="s">
        <v>587</v>
      </c>
      <c r="E4" s="12" t="s">
        <v>588</v>
      </c>
      <c r="F4" s="13"/>
      <c r="G4" s="15" t="s">
        <v>89</v>
      </c>
      <c r="H4" s="11" t="s">
        <v>84</v>
      </c>
    </row>
    <row r="5" customFormat="false" ht="45.75" hidden="false" customHeight="true" outlineLevel="0" collapsed="false">
      <c r="A5" s="11" t="s">
        <v>589</v>
      </c>
      <c r="B5" s="12" t="s">
        <v>581</v>
      </c>
      <c r="C5" s="12" t="s">
        <v>590</v>
      </c>
      <c r="D5" s="12" t="s">
        <v>591</v>
      </c>
      <c r="E5" s="12" t="s">
        <v>592</v>
      </c>
      <c r="F5" s="13"/>
      <c r="G5" s="15" t="s">
        <v>89</v>
      </c>
      <c r="H5" s="11" t="s">
        <v>84</v>
      </c>
    </row>
    <row r="6" customFormat="false" ht="45.75" hidden="false" customHeight="true" outlineLevel="0" collapsed="false">
      <c r="A6" s="11" t="s">
        <v>593</v>
      </c>
      <c r="B6" s="12" t="s">
        <v>594</v>
      </c>
      <c r="C6" s="12" t="s">
        <v>595</v>
      </c>
      <c r="D6" s="12" t="s">
        <v>596</v>
      </c>
      <c r="E6" s="12" t="s">
        <v>597</v>
      </c>
      <c r="F6" s="13"/>
      <c r="G6" s="14" t="s">
        <v>78</v>
      </c>
      <c r="H6" s="11" t="s">
        <v>84</v>
      </c>
    </row>
    <row r="7" customFormat="false" ht="45.75" hidden="false" customHeight="true" outlineLevel="0" collapsed="false">
      <c r="A7" s="11" t="s">
        <v>598</v>
      </c>
      <c r="B7" s="12" t="s">
        <v>594</v>
      </c>
      <c r="C7" s="12" t="s">
        <v>599</v>
      </c>
      <c r="D7" s="12" t="s">
        <v>600</v>
      </c>
      <c r="E7" s="12" t="s">
        <v>601</v>
      </c>
      <c r="F7" s="13"/>
      <c r="G7" s="15" t="s">
        <v>89</v>
      </c>
      <c r="H7" s="11" t="s">
        <v>84</v>
      </c>
    </row>
    <row r="8" customFormat="false" ht="45.75" hidden="false" customHeight="true" outlineLevel="0" collapsed="false">
      <c r="A8" s="11" t="s">
        <v>602</v>
      </c>
      <c r="B8" s="12" t="s">
        <v>191</v>
      </c>
      <c r="C8" s="12" t="s">
        <v>603</v>
      </c>
      <c r="D8" s="12" t="s">
        <v>604</v>
      </c>
      <c r="E8" s="12" t="s">
        <v>605</v>
      </c>
      <c r="F8" s="13"/>
      <c r="G8" s="14" t="s">
        <v>78</v>
      </c>
      <c r="H8" s="11" t="s">
        <v>84</v>
      </c>
    </row>
    <row r="9" customFormat="false" ht="45.75" hidden="false" customHeight="true" outlineLevel="0" collapsed="false">
      <c r="A9" s="11" t="s">
        <v>606</v>
      </c>
      <c r="B9" s="12" t="s">
        <v>191</v>
      </c>
      <c r="C9" s="12" t="s">
        <v>607</v>
      </c>
      <c r="D9" s="12" t="s">
        <v>608</v>
      </c>
      <c r="E9" s="12" t="s">
        <v>609</v>
      </c>
      <c r="F9" s="13"/>
      <c r="G9" s="15" t="s">
        <v>89</v>
      </c>
      <c r="H9" s="11" t="s">
        <v>254</v>
      </c>
    </row>
    <row r="10" customFormat="false" ht="45.75" hidden="false" customHeight="true" outlineLevel="0" collapsed="false">
      <c r="A10" s="11" t="s">
        <v>610</v>
      </c>
      <c r="B10" s="12" t="s">
        <v>611</v>
      </c>
      <c r="C10" s="12" t="s">
        <v>612</v>
      </c>
      <c r="D10" s="12" t="s">
        <v>613</v>
      </c>
      <c r="E10" s="12" t="s">
        <v>614</v>
      </c>
      <c r="F10" s="13"/>
      <c r="G10" s="15" t="s">
        <v>89</v>
      </c>
      <c r="H10" s="11" t="s">
        <v>84</v>
      </c>
    </row>
    <row r="11" customFormat="false" ht="45.75" hidden="false" customHeight="true" outlineLevel="0" collapsed="false">
      <c r="A11" s="11" t="s">
        <v>615</v>
      </c>
      <c r="B11" s="12" t="s">
        <v>616</v>
      </c>
      <c r="C11" s="12" t="s">
        <v>617</v>
      </c>
      <c r="D11" s="12" t="s">
        <v>618</v>
      </c>
      <c r="E11" s="12" t="s">
        <v>619</v>
      </c>
      <c r="F11" s="13"/>
      <c r="G11" s="15" t="s">
        <v>89</v>
      </c>
      <c r="H11" s="11" t="s">
        <v>84</v>
      </c>
    </row>
    <row r="12" customFormat="false" ht="45.75" hidden="false" customHeight="true" outlineLevel="0" collapsed="false">
      <c r="A12" s="11" t="s">
        <v>620</v>
      </c>
      <c r="B12" s="12" t="s">
        <v>621</v>
      </c>
      <c r="C12" s="12" t="s">
        <v>622</v>
      </c>
      <c r="D12" s="12" t="s">
        <v>623</v>
      </c>
      <c r="E12" s="12" t="s">
        <v>624</v>
      </c>
      <c r="F12" s="13"/>
      <c r="G12" s="11" t="s">
        <v>248</v>
      </c>
      <c r="H12" s="11" t="s">
        <v>79</v>
      </c>
    </row>
    <row r="13" customFormat="false" ht="45.75" hidden="false" customHeight="true" outlineLevel="0" collapsed="false">
      <c r="A13" s="11" t="s">
        <v>625</v>
      </c>
      <c r="B13" s="12" t="s">
        <v>621</v>
      </c>
      <c r="C13" s="12" t="s">
        <v>626</v>
      </c>
      <c r="D13" s="12" t="s">
        <v>627</v>
      </c>
      <c r="E13" s="12" t="s">
        <v>628</v>
      </c>
      <c r="F13" s="13"/>
      <c r="G13" s="14" t="s">
        <v>78</v>
      </c>
      <c r="H13" s="11" t="s">
        <v>108</v>
      </c>
    </row>
    <row r="14" customFormat="false" ht="45.75" hidden="false" customHeight="true" outlineLevel="0" collapsed="false">
      <c r="A14" s="11" t="s">
        <v>629</v>
      </c>
      <c r="B14" s="12" t="s">
        <v>621</v>
      </c>
      <c r="C14" s="12" t="s">
        <v>630</v>
      </c>
      <c r="D14" s="12" t="s">
        <v>631</v>
      </c>
      <c r="E14" s="12" t="s">
        <v>632</v>
      </c>
      <c r="F14" s="13"/>
      <c r="G14" s="14" t="s">
        <v>78</v>
      </c>
      <c r="H14" s="11" t="s">
        <v>84</v>
      </c>
    </row>
    <row r="15" customFormat="false" ht="45.75" hidden="false" customHeight="true" outlineLevel="0" collapsed="false">
      <c r="A15" s="11" t="s">
        <v>633</v>
      </c>
      <c r="B15" s="12" t="s">
        <v>634</v>
      </c>
      <c r="C15" s="12" t="s">
        <v>635</v>
      </c>
      <c r="D15" s="12" t="s">
        <v>636</v>
      </c>
      <c r="E15" s="12" t="s">
        <v>637</v>
      </c>
      <c r="F15" s="13"/>
      <c r="G15" s="15" t="s">
        <v>89</v>
      </c>
      <c r="H15" s="11" t="s">
        <v>79</v>
      </c>
    </row>
  </sheetData>
  <autoFilter ref="A2:H15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638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639</v>
      </c>
      <c r="B3" s="12" t="s">
        <v>91</v>
      </c>
      <c r="C3" s="12" t="s">
        <v>640</v>
      </c>
      <c r="D3" s="12" t="s">
        <v>641</v>
      </c>
      <c r="E3" s="12" t="s">
        <v>642</v>
      </c>
      <c r="F3" s="13"/>
      <c r="G3" s="15" t="s">
        <v>89</v>
      </c>
      <c r="H3" s="11" t="s">
        <v>84</v>
      </c>
    </row>
    <row r="4" customFormat="false" ht="45.75" hidden="false" customHeight="true" outlineLevel="0" collapsed="false">
      <c r="A4" s="11" t="s">
        <v>643</v>
      </c>
      <c r="B4" s="12" t="s">
        <v>581</v>
      </c>
      <c r="C4" s="12" t="s">
        <v>644</v>
      </c>
      <c r="D4" s="12" t="s">
        <v>645</v>
      </c>
      <c r="E4" s="12" t="s">
        <v>646</v>
      </c>
      <c r="F4" s="13"/>
      <c r="G4" s="14" t="s">
        <v>78</v>
      </c>
      <c r="H4" s="11" t="s">
        <v>84</v>
      </c>
    </row>
    <row r="5" customFormat="false" ht="45.75" hidden="false" customHeight="true" outlineLevel="0" collapsed="false">
      <c r="A5" s="11" t="s">
        <v>647</v>
      </c>
      <c r="B5" s="12" t="s">
        <v>648</v>
      </c>
      <c r="C5" s="12" t="s">
        <v>649</v>
      </c>
      <c r="D5" s="12" t="s">
        <v>650</v>
      </c>
      <c r="E5" s="12" t="s">
        <v>651</v>
      </c>
      <c r="F5" s="13"/>
      <c r="G5" s="14" t="s">
        <v>78</v>
      </c>
      <c r="H5" s="11" t="s">
        <v>383</v>
      </c>
    </row>
    <row r="6" customFormat="false" ht="45.75" hidden="false" customHeight="true" outlineLevel="0" collapsed="false">
      <c r="A6" s="11" t="s">
        <v>652</v>
      </c>
      <c r="B6" s="12" t="s">
        <v>648</v>
      </c>
      <c r="C6" s="12" t="s">
        <v>653</v>
      </c>
      <c r="D6" s="12" t="s">
        <v>654</v>
      </c>
      <c r="E6" s="12" t="s">
        <v>655</v>
      </c>
      <c r="F6" s="13"/>
      <c r="G6" s="14" t="s">
        <v>78</v>
      </c>
      <c r="H6" s="11" t="s">
        <v>108</v>
      </c>
    </row>
    <row r="7" customFormat="false" ht="45.75" hidden="false" customHeight="true" outlineLevel="0" collapsed="false">
      <c r="A7" s="11" t="s">
        <v>656</v>
      </c>
      <c r="B7" s="12" t="s">
        <v>351</v>
      </c>
      <c r="C7" s="12" t="s">
        <v>657</v>
      </c>
      <c r="D7" s="12" t="s">
        <v>658</v>
      </c>
      <c r="E7" s="12" t="s">
        <v>659</v>
      </c>
      <c r="F7" s="13"/>
      <c r="G7" s="14" t="s">
        <v>78</v>
      </c>
      <c r="H7" s="11" t="s">
        <v>84</v>
      </c>
    </row>
    <row r="8" customFormat="false" ht="45.75" hidden="false" customHeight="true" outlineLevel="0" collapsed="false">
      <c r="A8" s="11" t="s">
        <v>660</v>
      </c>
      <c r="B8" s="12" t="s">
        <v>351</v>
      </c>
      <c r="C8" s="12" t="s">
        <v>661</v>
      </c>
      <c r="D8" s="12" t="s">
        <v>662</v>
      </c>
      <c r="E8" s="12" t="s">
        <v>663</v>
      </c>
      <c r="F8" s="13"/>
      <c r="G8" s="15" t="s">
        <v>89</v>
      </c>
      <c r="H8" s="11" t="s">
        <v>84</v>
      </c>
    </row>
    <row r="9" customFormat="false" ht="45.75" hidden="false" customHeight="true" outlineLevel="0" collapsed="false">
      <c r="A9" s="11" t="s">
        <v>664</v>
      </c>
      <c r="B9" s="12" t="s">
        <v>665</v>
      </c>
      <c r="C9" s="12" t="s">
        <v>666</v>
      </c>
      <c r="D9" s="12" t="s">
        <v>667</v>
      </c>
      <c r="E9" s="12" t="s">
        <v>668</v>
      </c>
      <c r="F9" s="13"/>
      <c r="G9" s="15" t="s">
        <v>89</v>
      </c>
      <c r="H9" s="11" t="s">
        <v>84</v>
      </c>
    </row>
    <row r="10" customFormat="false" ht="45.75" hidden="false" customHeight="true" outlineLevel="0" collapsed="false">
      <c r="A10" s="11" t="s">
        <v>669</v>
      </c>
      <c r="B10" s="12" t="s">
        <v>611</v>
      </c>
      <c r="C10" s="12" t="s">
        <v>670</v>
      </c>
      <c r="D10" s="12" t="s">
        <v>671</v>
      </c>
      <c r="E10" s="12" t="s">
        <v>672</v>
      </c>
      <c r="F10" s="13"/>
      <c r="G10" s="14" t="s">
        <v>78</v>
      </c>
      <c r="H10" s="11" t="s">
        <v>84</v>
      </c>
    </row>
    <row r="11" customFormat="false" ht="45.75" hidden="false" customHeight="true" outlineLevel="0" collapsed="false">
      <c r="A11" s="11" t="s">
        <v>673</v>
      </c>
      <c r="B11" s="12" t="s">
        <v>674</v>
      </c>
      <c r="C11" s="12" t="s">
        <v>675</v>
      </c>
      <c r="D11" s="12" t="s">
        <v>676</v>
      </c>
      <c r="E11" s="12" t="s">
        <v>677</v>
      </c>
      <c r="F11" s="13"/>
      <c r="G11" s="14" t="s">
        <v>78</v>
      </c>
      <c r="H11" s="11" t="s">
        <v>84</v>
      </c>
    </row>
    <row r="12" customFormat="false" ht="45.75" hidden="false" customHeight="true" outlineLevel="0" collapsed="false">
      <c r="A12" s="11" t="s">
        <v>678</v>
      </c>
      <c r="B12" s="12" t="s">
        <v>679</v>
      </c>
      <c r="C12" s="12" t="s">
        <v>680</v>
      </c>
      <c r="D12" s="12" t="s">
        <v>681</v>
      </c>
      <c r="E12" s="12" t="s">
        <v>682</v>
      </c>
      <c r="F12" s="13"/>
      <c r="G12" s="15" t="s">
        <v>89</v>
      </c>
      <c r="H12" s="11" t="s">
        <v>84</v>
      </c>
    </row>
  </sheetData>
  <autoFilter ref="A2:H1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683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684</v>
      </c>
      <c r="B3" s="12" t="s">
        <v>91</v>
      </c>
      <c r="C3" s="12" t="s">
        <v>685</v>
      </c>
      <c r="D3" s="12" t="s">
        <v>686</v>
      </c>
      <c r="E3" s="12" t="s">
        <v>687</v>
      </c>
      <c r="F3" s="13"/>
      <c r="G3" s="15" t="s">
        <v>89</v>
      </c>
      <c r="H3" s="11" t="s">
        <v>84</v>
      </c>
    </row>
    <row r="4" customFormat="false" ht="45.75" hidden="false" customHeight="true" outlineLevel="0" collapsed="false">
      <c r="A4" s="11" t="s">
        <v>688</v>
      </c>
      <c r="B4" s="12" t="s">
        <v>689</v>
      </c>
      <c r="C4" s="12" t="s">
        <v>690</v>
      </c>
      <c r="D4" s="12" t="s">
        <v>691</v>
      </c>
      <c r="E4" s="12" t="s">
        <v>692</v>
      </c>
      <c r="F4" s="13"/>
      <c r="G4" s="14" t="s">
        <v>78</v>
      </c>
      <c r="H4" s="11" t="s">
        <v>84</v>
      </c>
    </row>
    <row r="5" customFormat="false" ht="45.75" hidden="false" customHeight="true" outlineLevel="0" collapsed="false">
      <c r="A5" s="11" t="s">
        <v>693</v>
      </c>
      <c r="B5" s="12" t="s">
        <v>689</v>
      </c>
      <c r="C5" s="12" t="s">
        <v>694</v>
      </c>
      <c r="D5" s="12" t="s">
        <v>695</v>
      </c>
      <c r="E5" s="12" t="s">
        <v>696</v>
      </c>
      <c r="F5" s="13"/>
      <c r="G5" s="14" t="s">
        <v>78</v>
      </c>
      <c r="H5" s="11" t="s">
        <v>84</v>
      </c>
    </row>
    <row r="6" customFormat="false" ht="45.75" hidden="false" customHeight="true" outlineLevel="0" collapsed="false">
      <c r="A6" s="11" t="s">
        <v>697</v>
      </c>
      <c r="B6" s="12" t="s">
        <v>698</v>
      </c>
      <c r="C6" s="12" t="s">
        <v>699</v>
      </c>
      <c r="D6" s="12" t="s">
        <v>700</v>
      </c>
      <c r="E6" s="12" t="s">
        <v>701</v>
      </c>
      <c r="F6" s="13"/>
      <c r="G6" s="14" t="s">
        <v>78</v>
      </c>
      <c r="H6" s="11" t="s">
        <v>383</v>
      </c>
    </row>
    <row r="7" customFormat="false" ht="45.75" hidden="false" customHeight="true" outlineLevel="0" collapsed="false">
      <c r="A7" s="11" t="s">
        <v>702</v>
      </c>
      <c r="B7" s="12" t="s">
        <v>698</v>
      </c>
      <c r="C7" s="12" t="s">
        <v>703</v>
      </c>
      <c r="D7" s="12" t="s">
        <v>704</v>
      </c>
      <c r="E7" s="12" t="s">
        <v>705</v>
      </c>
      <c r="F7" s="13"/>
      <c r="G7" s="14" t="s">
        <v>78</v>
      </c>
      <c r="H7" s="11" t="s">
        <v>383</v>
      </c>
    </row>
    <row r="8" customFormat="false" ht="45.75" hidden="false" customHeight="true" outlineLevel="0" collapsed="false">
      <c r="A8" s="11" t="s">
        <v>706</v>
      </c>
      <c r="B8" s="12" t="s">
        <v>707</v>
      </c>
      <c r="C8" s="12" t="s">
        <v>708</v>
      </c>
      <c r="D8" s="12" t="s">
        <v>709</v>
      </c>
      <c r="E8" s="12" t="s">
        <v>710</v>
      </c>
      <c r="F8" s="13"/>
      <c r="G8" s="14" t="s">
        <v>78</v>
      </c>
      <c r="H8" s="11" t="s">
        <v>84</v>
      </c>
    </row>
    <row r="9" customFormat="false" ht="45.75" hidden="false" customHeight="true" outlineLevel="0" collapsed="false">
      <c r="A9" s="11" t="s">
        <v>711</v>
      </c>
      <c r="B9" s="12" t="s">
        <v>707</v>
      </c>
      <c r="C9" s="12" t="s">
        <v>712</v>
      </c>
      <c r="D9" s="12" t="s">
        <v>713</v>
      </c>
      <c r="E9" s="12" t="s">
        <v>714</v>
      </c>
      <c r="F9" s="13"/>
      <c r="G9" s="15" t="s">
        <v>89</v>
      </c>
      <c r="H9" s="11" t="s">
        <v>383</v>
      </c>
    </row>
    <row r="10" customFormat="false" ht="45.75" hidden="false" customHeight="true" outlineLevel="0" collapsed="false">
      <c r="A10" s="11" t="s">
        <v>715</v>
      </c>
      <c r="B10" s="12" t="s">
        <v>716</v>
      </c>
      <c r="C10" s="12" t="s">
        <v>717</v>
      </c>
      <c r="D10" s="12" t="s">
        <v>718</v>
      </c>
      <c r="E10" s="12" t="s">
        <v>719</v>
      </c>
      <c r="F10" s="13"/>
      <c r="G10" s="15" t="s">
        <v>89</v>
      </c>
      <c r="H10" s="11" t="s">
        <v>84</v>
      </c>
    </row>
    <row r="11" customFormat="false" ht="45.75" hidden="false" customHeight="true" outlineLevel="0" collapsed="false">
      <c r="A11" s="11" t="s">
        <v>720</v>
      </c>
      <c r="B11" s="12" t="s">
        <v>721</v>
      </c>
      <c r="C11" s="12" t="s">
        <v>722</v>
      </c>
      <c r="D11" s="12" t="s">
        <v>723</v>
      </c>
      <c r="E11" s="12" t="s">
        <v>724</v>
      </c>
      <c r="F11" s="13"/>
      <c r="G11" s="15" t="s">
        <v>89</v>
      </c>
      <c r="H11" s="11" t="s">
        <v>84</v>
      </c>
    </row>
    <row r="12" customFormat="false" ht="45.75" hidden="false" customHeight="true" outlineLevel="0" collapsed="false">
      <c r="A12" s="11" t="s">
        <v>725</v>
      </c>
      <c r="B12" s="12" t="s">
        <v>726</v>
      </c>
      <c r="C12" s="12" t="s">
        <v>727</v>
      </c>
      <c r="D12" s="12" t="s">
        <v>728</v>
      </c>
      <c r="E12" s="12" t="s">
        <v>729</v>
      </c>
      <c r="F12" s="13"/>
      <c r="G12" s="14" t="s">
        <v>78</v>
      </c>
      <c r="H12" s="11" t="s">
        <v>95</v>
      </c>
    </row>
  </sheetData>
  <autoFilter ref="A2:H1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730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731</v>
      </c>
      <c r="B3" s="12" t="s">
        <v>91</v>
      </c>
      <c r="C3" s="12" t="s">
        <v>732</v>
      </c>
      <c r="D3" s="12" t="s">
        <v>733</v>
      </c>
      <c r="E3" s="12" t="s">
        <v>734</v>
      </c>
      <c r="F3" s="13"/>
      <c r="G3" s="11" t="s">
        <v>248</v>
      </c>
      <c r="H3" s="11" t="s">
        <v>84</v>
      </c>
    </row>
    <row r="4" customFormat="false" ht="45.75" hidden="false" customHeight="true" outlineLevel="0" collapsed="false">
      <c r="A4" s="11" t="s">
        <v>735</v>
      </c>
      <c r="B4" s="12" t="s">
        <v>74</v>
      </c>
      <c r="C4" s="12" t="s">
        <v>736</v>
      </c>
      <c r="D4" s="12" t="s">
        <v>737</v>
      </c>
      <c r="E4" s="12" t="s">
        <v>738</v>
      </c>
      <c r="F4" s="13"/>
      <c r="G4" s="14" t="s">
        <v>78</v>
      </c>
      <c r="H4" s="11" t="s">
        <v>84</v>
      </c>
    </row>
    <row r="5" customFormat="false" ht="45.75" hidden="false" customHeight="true" outlineLevel="0" collapsed="false">
      <c r="A5" s="11" t="s">
        <v>739</v>
      </c>
      <c r="B5" s="12" t="s">
        <v>740</v>
      </c>
      <c r="C5" s="12" t="s">
        <v>741</v>
      </c>
      <c r="D5" s="12" t="s">
        <v>742</v>
      </c>
      <c r="E5" s="12" t="s">
        <v>743</v>
      </c>
      <c r="F5" s="13"/>
      <c r="G5" s="15" t="s">
        <v>89</v>
      </c>
      <c r="H5" s="11" t="s">
        <v>84</v>
      </c>
    </row>
    <row r="6" customFormat="false" ht="45.75" hidden="false" customHeight="true" outlineLevel="0" collapsed="false">
      <c r="A6" s="11" t="s">
        <v>744</v>
      </c>
      <c r="B6" s="12" t="s">
        <v>745</v>
      </c>
      <c r="C6" s="12" t="s">
        <v>746</v>
      </c>
      <c r="D6" s="12" t="s">
        <v>747</v>
      </c>
      <c r="E6" s="12" t="s">
        <v>748</v>
      </c>
      <c r="F6" s="13"/>
      <c r="G6" s="14" t="s">
        <v>78</v>
      </c>
      <c r="H6" s="11" t="s">
        <v>108</v>
      </c>
    </row>
    <row r="7" customFormat="false" ht="45.75" hidden="false" customHeight="true" outlineLevel="0" collapsed="false">
      <c r="A7" s="11" t="s">
        <v>749</v>
      </c>
      <c r="B7" s="12" t="s">
        <v>745</v>
      </c>
      <c r="C7" s="12" t="s">
        <v>750</v>
      </c>
      <c r="D7" s="12" t="s">
        <v>751</v>
      </c>
      <c r="E7" s="12" t="s">
        <v>752</v>
      </c>
      <c r="F7" s="13"/>
      <c r="G7" s="15" t="s">
        <v>89</v>
      </c>
      <c r="H7" s="11" t="s">
        <v>108</v>
      </c>
    </row>
    <row r="8" customFormat="false" ht="45.75" hidden="false" customHeight="true" outlineLevel="0" collapsed="false">
      <c r="A8" s="11" t="s">
        <v>753</v>
      </c>
      <c r="B8" s="12" t="s">
        <v>754</v>
      </c>
      <c r="C8" s="12" t="s">
        <v>755</v>
      </c>
      <c r="D8" s="12" t="s">
        <v>756</v>
      </c>
      <c r="E8" s="12" t="s">
        <v>757</v>
      </c>
      <c r="F8" s="13"/>
      <c r="G8" s="15" t="s">
        <v>89</v>
      </c>
      <c r="H8" s="11" t="s">
        <v>108</v>
      </c>
    </row>
    <row r="9" customFormat="false" ht="45.75" hidden="false" customHeight="true" outlineLevel="0" collapsed="false">
      <c r="A9" s="11" t="s">
        <v>758</v>
      </c>
      <c r="B9" s="12" t="s">
        <v>759</v>
      </c>
      <c r="C9" s="12" t="s">
        <v>760</v>
      </c>
      <c r="D9" s="12" t="s">
        <v>761</v>
      </c>
      <c r="E9" s="12" t="s">
        <v>762</v>
      </c>
      <c r="F9" s="13"/>
      <c r="G9" s="11" t="s">
        <v>248</v>
      </c>
      <c r="H9" s="11" t="s">
        <v>84</v>
      </c>
    </row>
    <row r="10" customFormat="false" ht="45.75" hidden="false" customHeight="true" outlineLevel="0" collapsed="false">
      <c r="A10" s="11" t="s">
        <v>763</v>
      </c>
      <c r="B10" s="12" t="s">
        <v>726</v>
      </c>
      <c r="C10" s="12" t="s">
        <v>764</v>
      </c>
      <c r="D10" s="12" t="s">
        <v>765</v>
      </c>
      <c r="E10" s="12" t="s">
        <v>766</v>
      </c>
      <c r="F10" s="13"/>
      <c r="G10" s="15" t="s">
        <v>89</v>
      </c>
      <c r="H10" s="11" t="s">
        <v>84</v>
      </c>
    </row>
  </sheetData>
  <autoFilter ref="A2:H10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767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768</v>
      </c>
      <c r="B3" s="12" t="s">
        <v>91</v>
      </c>
      <c r="C3" s="12" t="s">
        <v>769</v>
      </c>
      <c r="D3" s="12" t="s">
        <v>770</v>
      </c>
      <c r="E3" s="12" t="s">
        <v>771</v>
      </c>
      <c r="F3" s="13"/>
      <c r="G3" s="14" t="s">
        <v>78</v>
      </c>
      <c r="H3" s="11" t="s">
        <v>108</v>
      </c>
    </row>
    <row r="4" customFormat="false" ht="45.75" hidden="false" customHeight="true" outlineLevel="0" collapsed="false">
      <c r="A4" s="11" t="s">
        <v>772</v>
      </c>
      <c r="B4" s="12" t="s">
        <v>91</v>
      </c>
      <c r="C4" s="12" t="s">
        <v>773</v>
      </c>
      <c r="D4" s="12" t="s">
        <v>774</v>
      </c>
      <c r="E4" s="12" t="s">
        <v>775</v>
      </c>
      <c r="F4" s="13"/>
      <c r="G4" s="14" t="s">
        <v>78</v>
      </c>
      <c r="H4" s="11" t="s">
        <v>108</v>
      </c>
    </row>
    <row r="5" customFormat="false" ht="45.75" hidden="false" customHeight="true" outlineLevel="0" collapsed="false">
      <c r="A5" s="11" t="s">
        <v>776</v>
      </c>
      <c r="B5" s="12" t="s">
        <v>648</v>
      </c>
      <c r="C5" s="12" t="s">
        <v>777</v>
      </c>
      <c r="D5" s="12" t="s">
        <v>778</v>
      </c>
      <c r="E5" s="12" t="s">
        <v>779</v>
      </c>
      <c r="F5" s="13"/>
      <c r="G5" s="14" t="s">
        <v>78</v>
      </c>
      <c r="H5" s="11" t="s">
        <v>108</v>
      </c>
    </row>
    <row r="6" customFormat="false" ht="45.75" hidden="false" customHeight="true" outlineLevel="0" collapsed="false">
      <c r="A6" s="11" t="s">
        <v>780</v>
      </c>
      <c r="B6" s="12" t="s">
        <v>781</v>
      </c>
      <c r="C6" s="12" t="s">
        <v>782</v>
      </c>
      <c r="D6" s="12" t="s">
        <v>783</v>
      </c>
      <c r="E6" s="12" t="s">
        <v>784</v>
      </c>
      <c r="F6" s="13"/>
      <c r="G6" s="14" t="s">
        <v>78</v>
      </c>
      <c r="H6" s="11" t="s">
        <v>108</v>
      </c>
    </row>
    <row r="7" customFormat="false" ht="45.75" hidden="false" customHeight="true" outlineLevel="0" collapsed="false">
      <c r="A7" s="11" t="s">
        <v>785</v>
      </c>
      <c r="B7" s="12" t="s">
        <v>781</v>
      </c>
      <c r="C7" s="12" t="s">
        <v>786</v>
      </c>
      <c r="D7" s="12" t="s">
        <v>787</v>
      </c>
      <c r="E7" s="12" t="s">
        <v>788</v>
      </c>
      <c r="F7" s="13"/>
      <c r="G7" s="15" t="s">
        <v>89</v>
      </c>
      <c r="H7" s="11" t="s">
        <v>108</v>
      </c>
    </row>
    <row r="8" customFormat="false" ht="45.75" hidden="false" customHeight="true" outlineLevel="0" collapsed="false">
      <c r="A8" s="11" t="s">
        <v>789</v>
      </c>
      <c r="B8" s="12" t="s">
        <v>790</v>
      </c>
      <c r="C8" s="12" t="s">
        <v>791</v>
      </c>
      <c r="D8" s="12" t="s">
        <v>792</v>
      </c>
      <c r="E8" s="12" t="s">
        <v>793</v>
      </c>
      <c r="F8" s="13"/>
      <c r="G8" s="14" t="s">
        <v>78</v>
      </c>
      <c r="H8" s="11" t="s">
        <v>84</v>
      </c>
    </row>
    <row r="9" customFormat="false" ht="45.75" hidden="false" customHeight="true" outlineLevel="0" collapsed="false">
      <c r="A9" s="11" t="s">
        <v>794</v>
      </c>
      <c r="B9" s="12" t="s">
        <v>342</v>
      </c>
      <c r="C9" s="12" t="s">
        <v>795</v>
      </c>
      <c r="D9" s="12" t="s">
        <v>796</v>
      </c>
      <c r="E9" s="12" t="s">
        <v>797</v>
      </c>
      <c r="F9" s="13"/>
      <c r="G9" s="15" t="s">
        <v>89</v>
      </c>
      <c r="H9" s="11" t="s">
        <v>84</v>
      </c>
    </row>
    <row r="10" customFormat="false" ht="45.75" hidden="false" customHeight="true" outlineLevel="0" collapsed="false">
      <c r="A10" s="11" t="s">
        <v>798</v>
      </c>
      <c r="B10" s="12" t="s">
        <v>799</v>
      </c>
      <c r="C10" s="12" t="s">
        <v>800</v>
      </c>
      <c r="D10" s="12" t="s">
        <v>801</v>
      </c>
      <c r="E10" s="12" t="s">
        <v>802</v>
      </c>
      <c r="F10" s="13"/>
      <c r="G10" s="14" t="s">
        <v>78</v>
      </c>
      <c r="H10" s="11" t="s">
        <v>108</v>
      </c>
    </row>
    <row r="11" customFormat="false" ht="45.75" hidden="false" customHeight="true" outlineLevel="0" collapsed="false">
      <c r="A11" s="11" t="s">
        <v>803</v>
      </c>
      <c r="B11" s="12" t="s">
        <v>804</v>
      </c>
      <c r="C11" s="12" t="s">
        <v>805</v>
      </c>
      <c r="D11" s="12" t="s">
        <v>806</v>
      </c>
      <c r="E11" s="12" t="s">
        <v>807</v>
      </c>
      <c r="F11" s="13"/>
      <c r="G11" s="15" t="s">
        <v>89</v>
      </c>
      <c r="H11" s="11" t="s">
        <v>108</v>
      </c>
    </row>
    <row r="12" customFormat="false" ht="45.75" hidden="false" customHeight="true" outlineLevel="0" collapsed="false">
      <c r="A12" s="11" t="s">
        <v>808</v>
      </c>
      <c r="B12" s="12" t="s">
        <v>809</v>
      </c>
      <c r="C12" s="12" t="s">
        <v>810</v>
      </c>
      <c r="D12" s="12" t="s">
        <v>811</v>
      </c>
      <c r="E12" s="12" t="s">
        <v>812</v>
      </c>
      <c r="F12" s="13"/>
      <c r="G12" s="11" t="s">
        <v>248</v>
      </c>
      <c r="H12" s="11" t="s">
        <v>84</v>
      </c>
    </row>
  </sheetData>
  <autoFilter ref="A2:H1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813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814</v>
      </c>
      <c r="B3" s="12" t="s">
        <v>815</v>
      </c>
      <c r="C3" s="12" t="s">
        <v>816</v>
      </c>
      <c r="D3" s="12" t="s">
        <v>817</v>
      </c>
      <c r="E3" s="12" t="s">
        <v>818</v>
      </c>
      <c r="F3" s="13"/>
      <c r="G3" s="14" t="s">
        <v>78</v>
      </c>
      <c r="H3" s="11" t="s">
        <v>84</v>
      </c>
    </row>
    <row r="4" customFormat="false" ht="45.75" hidden="false" customHeight="true" outlineLevel="0" collapsed="false">
      <c r="A4" s="11" t="s">
        <v>819</v>
      </c>
      <c r="B4" s="12" t="s">
        <v>815</v>
      </c>
      <c r="C4" s="12" t="s">
        <v>820</v>
      </c>
      <c r="D4" s="12" t="s">
        <v>821</v>
      </c>
      <c r="E4" s="12" t="s">
        <v>822</v>
      </c>
      <c r="F4" s="13"/>
      <c r="G4" s="14" t="s">
        <v>78</v>
      </c>
      <c r="H4" s="11" t="s">
        <v>84</v>
      </c>
    </row>
    <row r="5" customFormat="false" ht="45.75" hidden="false" customHeight="true" outlineLevel="0" collapsed="false">
      <c r="A5" s="11" t="s">
        <v>823</v>
      </c>
      <c r="B5" s="12" t="s">
        <v>824</v>
      </c>
      <c r="C5" s="12" t="s">
        <v>825</v>
      </c>
      <c r="D5" s="12" t="s">
        <v>826</v>
      </c>
      <c r="E5" s="12" t="s">
        <v>827</v>
      </c>
      <c r="F5" s="13"/>
      <c r="G5" s="14" t="s">
        <v>78</v>
      </c>
      <c r="H5" s="11" t="s">
        <v>84</v>
      </c>
    </row>
    <row r="6" customFormat="false" ht="45.75" hidden="false" customHeight="true" outlineLevel="0" collapsed="false">
      <c r="A6" s="11" t="s">
        <v>828</v>
      </c>
      <c r="B6" s="12" t="s">
        <v>824</v>
      </c>
      <c r="C6" s="12" t="s">
        <v>829</v>
      </c>
      <c r="D6" s="12" t="s">
        <v>830</v>
      </c>
      <c r="E6" s="12" t="s">
        <v>831</v>
      </c>
      <c r="F6" s="13"/>
      <c r="G6" s="14" t="s">
        <v>78</v>
      </c>
      <c r="H6" s="11" t="s">
        <v>383</v>
      </c>
    </row>
    <row r="7" customFormat="false" ht="45.75" hidden="false" customHeight="true" outlineLevel="0" collapsed="false">
      <c r="A7" s="11" t="s">
        <v>832</v>
      </c>
      <c r="B7" s="12" t="s">
        <v>621</v>
      </c>
      <c r="C7" s="12" t="s">
        <v>833</v>
      </c>
      <c r="D7" s="12" t="s">
        <v>834</v>
      </c>
      <c r="E7" s="12" t="s">
        <v>835</v>
      </c>
      <c r="F7" s="13"/>
      <c r="G7" s="14" t="s">
        <v>78</v>
      </c>
      <c r="H7" s="11" t="s">
        <v>84</v>
      </c>
    </row>
    <row r="8" customFormat="false" ht="45.75" hidden="false" customHeight="true" outlineLevel="0" collapsed="false">
      <c r="A8" s="11" t="s">
        <v>836</v>
      </c>
      <c r="B8" s="12" t="s">
        <v>837</v>
      </c>
      <c r="C8" s="12" t="s">
        <v>838</v>
      </c>
      <c r="D8" s="12" t="s">
        <v>839</v>
      </c>
      <c r="E8" s="12" t="s">
        <v>840</v>
      </c>
      <c r="F8" s="13"/>
      <c r="G8" s="15" t="s">
        <v>89</v>
      </c>
      <c r="H8" s="11" t="s">
        <v>84</v>
      </c>
    </row>
    <row r="9" customFormat="false" ht="45.75" hidden="false" customHeight="true" outlineLevel="0" collapsed="false">
      <c r="A9" s="11" t="s">
        <v>841</v>
      </c>
      <c r="B9" s="12" t="s">
        <v>842</v>
      </c>
      <c r="C9" s="12" t="s">
        <v>843</v>
      </c>
      <c r="D9" s="12" t="s">
        <v>844</v>
      </c>
      <c r="E9" s="12" t="s">
        <v>845</v>
      </c>
      <c r="F9" s="13"/>
      <c r="G9" s="14" t="s">
        <v>78</v>
      </c>
      <c r="H9" s="11" t="s">
        <v>84</v>
      </c>
    </row>
    <row r="10" customFormat="false" ht="45.75" hidden="false" customHeight="true" outlineLevel="0" collapsed="false">
      <c r="A10" s="11" t="s">
        <v>846</v>
      </c>
      <c r="B10" s="12" t="s">
        <v>611</v>
      </c>
      <c r="C10" s="12" t="s">
        <v>847</v>
      </c>
      <c r="D10" s="12" t="s">
        <v>848</v>
      </c>
      <c r="E10" s="12" t="s">
        <v>849</v>
      </c>
      <c r="F10" s="13"/>
      <c r="G10" s="14" t="s">
        <v>78</v>
      </c>
      <c r="H10" s="11" t="s">
        <v>84</v>
      </c>
    </row>
    <row r="11" customFormat="false" ht="45.75" hidden="false" customHeight="true" outlineLevel="0" collapsed="false">
      <c r="A11" s="11" t="s">
        <v>850</v>
      </c>
      <c r="B11" s="12" t="s">
        <v>851</v>
      </c>
      <c r="C11" s="12" t="s">
        <v>852</v>
      </c>
      <c r="D11" s="12" t="s">
        <v>853</v>
      </c>
      <c r="E11" s="12" t="s">
        <v>854</v>
      </c>
      <c r="F11" s="13"/>
      <c r="G11" s="14" t="s">
        <v>78</v>
      </c>
      <c r="H11" s="11" t="s">
        <v>84</v>
      </c>
    </row>
    <row r="12" customFormat="false" ht="45.75" hidden="false" customHeight="true" outlineLevel="0" collapsed="false">
      <c r="A12" s="11" t="s">
        <v>855</v>
      </c>
      <c r="B12" s="12" t="s">
        <v>856</v>
      </c>
      <c r="C12" s="12" t="s">
        <v>857</v>
      </c>
      <c r="D12" s="12" t="s">
        <v>858</v>
      </c>
      <c r="E12" s="12" t="s">
        <v>859</v>
      </c>
      <c r="F12" s="13"/>
      <c r="G12" s="15" t="s">
        <v>89</v>
      </c>
      <c r="H12" s="11" t="s">
        <v>84</v>
      </c>
    </row>
  </sheetData>
  <autoFilter ref="A2:H1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860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861</v>
      </c>
      <c r="B3" s="12" t="s">
        <v>91</v>
      </c>
      <c r="C3" s="12" t="s">
        <v>862</v>
      </c>
      <c r="D3" s="12" t="s">
        <v>863</v>
      </c>
      <c r="E3" s="12" t="s">
        <v>864</v>
      </c>
      <c r="F3" s="13"/>
      <c r="G3" s="15" t="s">
        <v>89</v>
      </c>
      <c r="H3" s="11" t="s">
        <v>84</v>
      </c>
    </row>
    <row r="4" customFormat="false" ht="45.75" hidden="false" customHeight="true" outlineLevel="0" collapsed="false">
      <c r="A4" s="11" t="s">
        <v>865</v>
      </c>
      <c r="B4" s="12" t="s">
        <v>866</v>
      </c>
      <c r="C4" s="12" t="s">
        <v>867</v>
      </c>
      <c r="D4" s="12" t="s">
        <v>868</v>
      </c>
      <c r="E4" s="12" t="s">
        <v>869</v>
      </c>
      <c r="F4" s="13"/>
      <c r="G4" s="15" t="s">
        <v>89</v>
      </c>
      <c r="H4" s="11" t="s">
        <v>108</v>
      </c>
    </row>
    <row r="5" customFormat="false" ht="45.75" hidden="false" customHeight="true" outlineLevel="0" collapsed="false">
      <c r="A5" s="11" t="s">
        <v>870</v>
      </c>
      <c r="B5" s="12" t="s">
        <v>866</v>
      </c>
      <c r="C5" s="12" t="s">
        <v>871</v>
      </c>
      <c r="D5" s="12" t="s">
        <v>872</v>
      </c>
      <c r="E5" s="12" t="s">
        <v>873</v>
      </c>
      <c r="F5" s="13"/>
      <c r="G5" s="14" t="s">
        <v>78</v>
      </c>
      <c r="H5" s="11" t="s">
        <v>84</v>
      </c>
    </row>
    <row r="6" customFormat="false" ht="45.75" hidden="false" customHeight="true" outlineLevel="0" collapsed="false">
      <c r="A6" s="11" t="s">
        <v>874</v>
      </c>
      <c r="B6" s="12" t="s">
        <v>351</v>
      </c>
      <c r="C6" s="12" t="s">
        <v>875</v>
      </c>
      <c r="D6" s="12" t="s">
        <v>876</v>
      </c>
      <c r="E6" s="12" t="s">
        <v>659</v>
      </c>
      <c r="F6" s="13"/>
      <c r="G6" s="15" t="s">
        <v>89</v>
      </c>
      <c r="H6" s="11" t="s">
        <v>84</v>
      </c>
    </row>
    <row r="7" customFormat="false" ht="45.75" hidden="false" customHeight="true" outlineLevel="0" collapsed="false">
      <c r="A7" s="11" t="s">
        <v>877</v>
      </c>
      <c r="B7" s="12" t="s">
        <v>878</v>
      </c>
      <c r="C7" s="12" t="s">
        <v>879</v>
      </c>
      <c r="D7" s="12" t="s">
        <v>880</v>
      </c>
      <c r="E7" s="12" t="s">
        <v>881</v>
      </c>
      <c r="F7" s="13"/>
      <c r="G7" s="15" t="s">
        <v>89</v>
      </c>
      <c r="H7" s="11" t="s">
        <v>84</v>
      </c>
    </row>
    <row r="8" customFormat="false" ht="45.75" hidden="false" customHeight="true" outlineLevel="0" collapsed="false">
      <c r="A8" s="11" t="s">
        <v>882</v>
      </c>
      <c r="B8" s="12" t="s">
        <v>883</v>
      </c>
      <c r="C8" s="12" t="s">
        <v>884</v>
      </c>
      <c r="D8" s="12" t="s">
        <v>885</v>
      </c>
      <c r="E8" s="12" t="s">
        <v>886</v>
      </c>
      <c r="F8" s="13"/>
      <c r="G8" s="14" t="s">
        <v>78</v>
      </c>
      <c r="H8" s="11" t="s">
        <v>84</v>
      </c>
    </row>
    <row r="9" customFormat="false" ht="45.75" hidden="false" customHeight="true" outlineLevel="0" collapsed="false">
      <c r="A9" s="11" t="s">
        <v>887</v>
      </c>
      <c r="B9" s="12" t="s">
        <v>888</v>
      </c>
      <c r="C9" s="12" t="s">
        <v>889</v>
      </c>
      <c r="D9" s="12" t="s">
        <v>890</v>
      </c>
      <c r="E9" s="12" t="s">
        <v>891</v>
      </c>
      <c r="F9" s="13"/>
      <c r="G9" s="11" t="s">
        <v>248</v>
      </c>
      <c r="H9" s="11" t="s">
        <v>84</v>
      </c>
    </row>
    <row r="10" customFormat="false" ht="45.75" hidden="false" customHeight="true" outlineLevel="0" collapsed="false">
      <c r="A10" s="11" t="s">
        <v>892</v>
      </c>
      <c r="B10" s="12" t="s">
        <v>679</v>
      </c>
      <c r="C10" s="12" t="s">
        <v>893</v>
      </c>
      <c r="D10" s="12" t="s">
        <v>894</v>
      </c>
      <c r="E10" s="12" t="s">
        <v>434</v>
      </c>
      <c r="F10" s="13"/>
      <c r="G10" s="15" t="s">
        <v>89</v>
      </c>
      <c r="H10" s="11" t="s">
        <v>383</v>
      </c>
    </row>
    <row r="11" customFormat="false" ht="45.75" hidden="false" customHeight="true" outlineLevel="0" collapsed="false">
      <c r="A11" s="11" t="s">
        <v>895</v>
      </c>
      <c r="B11" s="12" t="s">
        <v>896</v>
      </c>
      <c r="C11" s="12" t="s">
        <v>897</v>
      </c>
      <c r="D11" s="12" t="s">
        <v>898</v>
      </c>
      <c r="E11" s="12" t="s">
        <v>899</v>
      </c>
      <c r="F11" s="13"/>
      <c r="G11" s="11" t="s">
        <v>248</v>
      </c>
      <c r="H11" s="11" t="s">
        <v>84</v>
      </c>
    </row>
    <row r="12" customFormat="false" ht="45.75" hidden="false" customHeight="true" outlineLevel="0" collapsed="false">
      <c r="A12" s="11" t="s">
        <v>900</v>
      </c>
      <c r="B12" s="12" t="s">
        <v>901</v>
      </c>
      <c r="C12" s="12" t="s">
        <v>902</v>
      </c>
      <c r="D12" s="12" t="s">
        <v>903</v>
      </c>
      <c r="E12" s="12" t="s">
        <v>904</v>
      </c>
      <c r="F12" s="13"/>
      <c r="G12" s="15" t="s">
        <v>89</v>
      </c>
      <c r="H12" s="11" t="s">
        <v>84</v>
      </c>
    </row>
    <row r="13" customFormat="false" ht="45.75" hidden="false" customHeight="true" outlineLevel="0" collapsed="false">
      <c r="A13" s="11" t="s">
        <v>905</v>
      </c>
      <c r="B13" s="12" t="s">
        <v>191</v>
      </c>
      <c r="C13" s="12" t="s">
        <v>906</v>
      </c>
      <c r="D13" s="12" t="s">
        <v>907</v>
      </c>
      <c r="E13" s="12" t="s">
        <v>908</v>
      </c>
      <c r="F13" s="13"/>
      <c r="G13" s="14" t="s">
        <v>78</v>
      </c>
      <c r="H13" s="11" t="s">
        <v>84</v>
      </c>
    </row>
  </sheetData>
  <autoFilter ref="A2:H13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909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910</v>
      </c>
      <c r="B3" s="12" t="s">
        <v>911</v>
      </c>
      <c r="C3" s="12" t="s">
        <v>912</v>
      </c>
      <c r="D3" s="12" t="s">
        <v>913</v>
      </c>
      <c r="E3" s="12" t="s">
        <v>914</v>
      </c>
      <c r="F3" s="13"/>
      <c r="G3" s="14" t="s">
        <v>78</v>
      </c>
      <c r="H3" s="11" t="s">
        <v>79</v>
      </c>
    </row>
    <row r="4" customFormat="false" ht="45.75" hidden="false" customHeight="true" outlineLevel="0" collapsed="false">
      <c r="A4" s="11" t="s">
        <v>915</v>
      </c>
      <c r="B4" s="12" t="s">
        <v>911</v>
      </c>
      <c r="C4" s="12" t="s">
        <v>916</v>
      </c>
      <c r="D4" s="12" t="s">
        <v>917</v>
      </c>
      <c r="E4" s="12" t="s">
        <v>918</v>
      </c>
      <c r="F4" s="13"/>
      <c r="G4" s="14" t="s">
        <v>78</v>
      </c>
      <c r="H4" s="11" t="s">
        <v>79</v>
      </c>
    </row>
    <row r="5" customFormat="false" ht="45.75" hidden="false" customHeight="true" outlineLevel="0" collapsed="false">
      <c r="A5" s="11" t="s">
        <v>919</v>
      </c>
      <c r="B5" s="12" t="s">
        <v>920</v>
      </c>
      <c r="C5" s="12" t="s">
        <v>921</v>
      </c>
      <c r="D5" s="12" t="s">
        <v>922</v>
      </c>
      <c r="E5" s="12" t="s">
        <v>923</v>
      </c>
      <c r="F5" s="13"/>
      <c r="G5" s="15" t="s">
        <v>89</v>
      </c>
      <c r="H5" s="11" t="s">
        <v>108</v>
      </c>
    </row>
    <row r="6" customFormat="false" ht="45.75" hidden="false" customHeight="true" outlineLevel="0" collapsed="false">
      <c r="A6" s="11" t="s">
        <v>924</v>
      </c>
      <c r="B6" s="12" t="s">
        <v>920</v>
      </c>
      <c r="C6" s="12" t="s">
        <v>925</v>
      </c>
      <c r="D6" s="12" t="s">
        <v>926</v>
      </c>
      <c r="E6" s="12" t="s">
        <v>927</v>
      </c>
      <c r="F6" s="13"/>
      <c r="G6" s="14" t="s">
        <v>78</v>
      </c>
      <c r="H6" s="11" t="s">
        <v>108</v>
      </c>
    </row>
    <row r="7" customFormat="false" ht="45.75" hidden="false" customHeight="true" outlineLevel="0" collapsed="false">
      <c r="A7" s="11" t="s">
        <v>928</v>
      </c>
      <c r="B7" s="12" t="s">
        <v>929</v>
      </c>
      <c r="C7" s="12" t="s">
        <v>930</v>
      </c>
      <c r="D7" s="12" t="s">
        <v>931</v>
      </c>
      <c r="E7" s="12" t="s">
        <v>932</v>
      </c>
      <c r="F7" s="13"/>
      <c r="G7" s="14" t="s">
        <v>78</v>
      </c>
      <c r="H7" s="11" t="s">
        <v>108</v>
      </c>
    </row>
    <row r="8" customFormat="false" ht="45.75" hidden="false" customHeight="true" outlineLevel="0" collapsed="false">
      <c r="A8" s="11" t="s">
        <v>933</v>
      </c>
      <c r="B8" s="12" t="s">
        <v>929</v>
      </c>
      <c r="C8" s="12" t="s">
        <v>934</v>
      </c>
      <c r="D8" s="12" t="s">
        <v>935</v>
      </c>
      <c r="E8" s="12" t="s">
        <v>936</v>
      </c>
      <c r="F8" s="13"/>
      <c r="G8" s="14" t="s">
        <v>78</v>
      </c>
      <c r="H8" s="11" t="s">
        <v>108</v>
      </c>
    </row>
    <row r="9" customFormat="false" ht="45.75" hidden="false" customHeight="true" outlineLevel="0" collapsed="false">
      <c r="A9" s="11" t="s">
        <v>937</v>
      </c>
      <c r="B9" s="12" t="s">
        <v>938</v>
      </c>
      <c r="C9" s="12" t="s">
        <v>939</v>
      </c>
      <c r="D9" s="12" t="s">
        <v>940</v>
      </c>
      <c r="E9" s="12" t="s">
        <v>941</v>
      </c>
      <c r="F9" s="13"/>
      <c r="G9" s="14" t="s">
        <v>78</v>
      </c>
      <c r="H9" s="11" t="s">
        <v>79</v>
      </c>
    </row>
    <row r="10" customFormat="false" ht="45.75" hidden="false" customHeight="true" outlineLevel="0" collapsed="false">
      <c r="A10" s="11" t="s">
        <v>942</v>
      </c>
      <c r="B10" s="12" t="s">
        <v>938</v>
      </c>
      <c r="C10" s="12" t="s">
        <v>943</v>
      </c>
      <c r="D10" s="12" t="s">
        <v>944</v>
      </c>
      <c r="E10" s="12" t="s">
        <v>945</v>
      </c>
      <c r="F10" s="13"/>
      <c r="G10" s="15" t="s">
        <v>89</v>
      </c>
      <c r="H10" s="11" t="s">
        <v>108</v>
      </c>
    </row>
    <row r="11" customFormat="false" ht="45.75" hidden="false" customHeight="true" outlineLevel="0" collapsed="false">
      <c r="A11" s="11" t="s">
        <v>946</v>
      </c>
      <c r="B11" s="12" t="s">
        <v>947</v>
      </c>
      <c r="C11" s="12" t="s">
        <v>948</v>
      </c>
      <c r="D11" s="12" t="s">
        <v>949</v>
      </c>
      <c r="E11" s="12" t="s">
        <v>950</v>
      </c>
      <c r="F11" s="13"/>
      <c r="G11" s="14" t="s">
        <v>78</v>
      </c>
      <c r="H11" s="11" t="s">
        <v>95</v>
      </c>
    </row>
    <row r="12" customFormat="false" ht="45.75" hidden="false" customHeight="true" outlineLevel="0" collapsed="false">
      <c r="A12" s="11" t="s">
        <v>951</v>
      </c>
      <c r="B12" s="12" t="s">
        <v>947</v>
      </c>
      <c r="C12" s="12" t="s">
        <v>952</v>
      </c>
      <c r="D12" s="12" t="s">
        <v>953</v>
      </c>
      <c r="E12" s="12" t="s">
        <v>954</v>
      </c>
      <c r="F12" s="13"/>
      <c r="G12" s="15" t="s">
        <v>89</v>
      </c>
      <c r="H12" s="11" t="s">
        <v>108</v>
      </c>
    </row>
  </sheetData>
  <autoFilter ref="A2:H1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955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956</v>
      </c>
      <c r="B3" s="12" t="s">
        <v>957</v>
      </c>
      <c r="C3" s="12" t="s">
        <v>958</v>
      </c>
      <c r="D3" s="12" t="s">
        <v>959</v>
      </c>
      <c r="E3" s="12" t="s">
        <v>960</v>
      </c>
      <c r="F3" s="13"/>
      <c r="G3" s="14" t="s">
        <v>78</v>
      </c>
      <c r="H3" s="11" t="s">
        <v>79</v>
      </c>
    </row>
    <row r="4" customFormat="false" ht="45.75" hidden="false" customHeight="true" outlineLevel="0" collapsed="false">
      <c r="A4" s="11" t="s">
        <v>961</v>
      </c>
      <c r="B4" s="12" t="s">
        <v>962</v>
      </c>
      <c r="C4" s="12" t="s">
        <v>963</v>
      </c>
      <c r="D4" s="12" t="s">
        <v>964</v>
      </c>
      <c r="E4" s="12" t="s">
        <v>965</v>
      </c>
      <c r="F4" s="13"/>
      <c r="G4" s="14" t="s">
        <v>78</v>
      </c>
      <c r="H4" s="11" t="s">
        <v>79</v>
      </c>
    </row>
    <row r="5" customFormat="false" ht="45.75" hidden="false" customHeight="true" outlineLevel="0" collapsed="false">
      <c r="A5" s="11" t="s">
        <v>966</v>
      </c>
      <c r="B5" s="12" t="s">
        <v>967</v>
      </c>
      <c r="C5" s="12" t="s">
        <v>968</v>
      </c>
      <c r="D5" s="12" t="s">
        <v>969</v>
      </c>
      <c r="E5" s="12" t="s">
        <v>970</v>
      </c>
      <c r="F5" s="13"/>
      <c r="G5" s="14" t="s">
        <v>78</v>
      </c>
      <c r="H5" s="11" t="s">
        <v>79</v>
      </c>
    </row>
    <row r="6" customFormat="false" ht="45.75" hidden="false" customHeight="true" outlineLevel="0" collapsed="false">
      <c r="A6" s="11" t="s">
        <v>971</v>
      </c>
      <c r="B6" s="12" t="s">
        <v>972</v>
      </c>
      <c r="C6" s="12" t="s">
        <v>973</v>
      </c>
      <c r="D6" s="12" t="s">
        <v>974</v>
      </c>
      <c r="E6" s="12" t="s">
        <v>975</v>
      </c>
      <c r="F6" s="13"/>
      <c r="G6" s="14" t="s">
        <v>78</v>
      </c>
      <c r="H6" s="11" t="s">
        <v>177</v>
      </c>
    </row>
    <row r="7" customFormat="false" ht="45.75" hidden="false" customHeight="true" outlineLevel="0" collapsed="false">
      <c r="A7" s="11" t="s">
        <v>976</v>
      </c>
      <c r="B7" s="12" t="s">
        <v>977</v>
      </c>
      <c r="C7" s="12" t="s">
        <v>978</v>
      </c>
      <c r="D7" s="12" t="s">
        <v>979</v>
      </c>
      <c r="E7" s="12" t="s">
        <v>980</v>
      </c>
      <c r="F7" s="13"/>
      <c r="G7" s="15" t="s">
        <v>89</v>
      </c>
      <c r="H7" s="11" t="s">
        <v>108</v>
      </c>
    </row>
    <row r="8" customFormat="false" ht="45.75" hidden="false" customHeight="true" outlineLevel="0" collapsed="false">
      <c r="A8" s="11" t="s">
        <v>981</v>
      </c>
      <c r="B8" s="12" t="s">
        <v>982</v>
      </c>
      <c r="C8" s="12" t="s">
        <v>983</v>
      </c>
      <c r="D8" s="12" t="s">
        <v>984</v>
      </c>
      <c r="E8" s="12" t="s">
        <v>985</v>
      </c>
      <c r="F8" s="13"/>
      <c r="G8" s="14" t="s">
        <v>78</v>
      </c>
      <c r="H8" s="11" t="s">
        <v>79</v>
      </c>
    </row>
    <row r="9" customFormat="false" ht="45.75" hidden="false" customHeight="true" outlineLevel="0" collapsed="false">
      <c r="A9" s="11" t="s">
        <v>986</v>
      </c>
      <c r="B9" s="12" t="s">
        <v>987</v>
      </c>
      <c r="C9" s="12" t="s">
        <v>988</v>
      </c>
      <c r="D9" s="12" t="s">
        <v>989</v>
      </c>
      <c r="E9" s="12" t="s">
        <v>990</v>
      </c>
      <c r="F9" s="13"/>
      <c r="G9" s="15" t="s">
        <v>89</v>
      </c>
      <c r="H9" s="11" t="s">
        <v>79</v>
      </c>
    </row>
    <row r="10" customFormat="false" ht="45.75" hidden="false" customHeight="true" outlineLevel="0" collapsed="false">
      <c r="A10" s="11" t="s">
        <v>991</v>
      </c>
      <c r="B10" s="12" t="s">
        <v>992</v>
      </c>
      <c r="C10" s="12" t="s">
        <v>993</v>
      </c>
      <c r="D10" s="12" t="s">
        <v>994</v>
      </c>
      <c r="E10" s="12" t="s">
        <v>995</v>
      </c>
      <c r="F10" s="13"/>
      <c r="G10" s="15" t="s">
        <v>89</v>
      </c>
      <c r="H10" s="11" t="s">
        <v>108</v>
      </c>
    </row>
  </sheetData>
  <autoFilter ref="A2:H10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996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997</v>
      </c>
      <c r="B3" s="12" t="s">
        <v>998</v>
      </c>
      <c r="C3" s="12" t="s">
        <v>999</v>
      </c>
      <c r="D3" s="12" t="s">
        <v>1000</v>
      </c>
      <c r="E3" s="12" t="s">
        <v>1001</v>
      </c>
      <c r="F3" s="13"/>
      <c r="G3" s="14" t="s">
        <v>78</v>
      </c>
      <c r="H3" s="11" t="s">
        <v>95</v>
      </c>
    </row>
    <row r="4" customFormat="false" ht="45.75" hidden="false" customHeight="true" outlineLevel="0" collapsed="false">
      <c r="A4" s="11" t="s">
        <v>1002</v>
      </c>
      <c r="B4" s="12" t="s">
        <v>998</v>
      </c>
      <c r="C4" s="12" t="s">
        <v>1003</v>
      </c>
      <c r="D4" s="12" t="s">
        <v>1004</v>
      </c>
      <c r="E4" s="12" t="s">
        <v>1005</v>
      </c>
      <c r="F4" s="13"/>
      <c r="G4" s="14" t="s">
        <v>78</v>
      </c>
      <c r="H4" s="11" t="s">
        <v>79</v>
      </c>
    </row>
    <row r="5" customFormat="false" ht="45.75" hidden="false" customHeight="true" outlineLevel="0" collapsed="false">
      <c r="A5" s="11" t="s">
        <v>1006</v>
      </c>
      <c r="B5" s="12" t="s">
        <v>1007</v>
      </c>
      <c r="C5" s="12" t="s">
        <v>1008</v>
      </c>
      <c r="D5" s="12" t="s">
        <v>1009</v>
      </c>
      <c r="E5" s="12" t="s">
        <v>1010</v>
      </c>
      <c r="F5" s="13"/>
      <c r="G5" s="14" t="s">
        <v>78</v>
      </c>
      <c r="H5" s="11" t="s">
        <v>95</v>
      </c>
    </row>
    <row r="6" customFormat="false" ht="45.75" hidden="false" customHeight="true" outlineLevel="0" collapsed="false">
      <c r="A6" s="11" t="s">
        <v>1011</v>
      </c>
      <c r="B6" s="12" t="s">
        <v>1012</v>
      </c>
      <c r="C6" s="12" t="s">
        <v>1013</v>
      </c>
      <c r="D6" s="12" t="s">
        <v>1014</v>
      </c>
      <c r="E6" s="12" t="s">
        <v>1015</v>
      </c>
      <c r="F6" s="13"/>
      <c r="G6" s="14" t="s">
        <v>78</v>
      </c>
      <c r="H6" s="11" t="s">
        <v>84</v>
      </c>
    </row>
    <row r="7" customFormat="false" ht="45.75" hidden="false" customHeight="true" outlineLevel="0" collapsed="false">
      <c r="A7" s="11" t="s">
        <v>1016</v>
      </c>
      <c r="B7" s="12" t="s">
        <v>1012</v>
      </c>
      <c r="C7" s="12" t="s">
        <v>1017</v>
      </c>
      <c r="D7" s="12" t="s">
        <v>1018</v>
      </c>
      <c r="E7" s="12" t="s">
        <v>1019</v>
      </c>
      <c r="F7" s="13"/>
      <c r="G7" s="14" t="s">
        <v>78</v>
      </c>
      <c r="H7" s="11" t="s">
        <v>84</v>
      </c>
    </row>
    <row r="8" customFormat="false" ht="45.75" hidden="false" customHeight="true" outlineLevel="0" collapsed="false">
      <c r="A8" s="11" t="s">
        <v>1020</v>
      </c>
      <c r="B8" s="12" t="s">
        <v>1012</v>
      </c>
      <c r="C8" s="12" t="s">
        <v>1021</v>
      </c>
      <c r="D8" s="12" t="s">
        <v>1022</v>
      </c>
      <c r="E8" s="12" t="s">
        <v>1023</v>
      </c>
      <c r="F8" s="13"/>
      <c r="G8" s="15" t="s">
        <v>89</v>
      </c>
      <c r="H8" s="11" t="s">
        <v>108</v>
      </c>
    </row>
    <row r="9" customFormat="false" ht="45.75" hidden="false" customHeight="true" outlineLevel="0" collapsed="false">
      <c r="A9" s="11" t="s">
        <v>1024</v>
      </c>
      <c r="B9" s="12" t="s">
        <v>1025</v>
      </c>
      <c r="C9" s="12" t="s">
        <v>1026</v>
      </c>
      <c r="D9" s="12" t="s">
        <v>1027</v>
      </c>
      <c r="E9" s="12" t="s">
        <v>1028</v>
      </c>
      <c r="F9" s="13"/>
      <c r="G9" s="14" t="s">
        <v>78</v>
      </c>
      <c r="H9" s="11" t="s">
        <v>95</v>
      </c>
    </row>
    <row r="10" customFormat="false" ht="45.75" hidden="false" customHeight="true" outlineLevel="0" collapsed="false">
      <c r="A10" s="11" t="s">
        <v>1029</v>
      </c>
      <c r="B10" s="12" t="s">
        <v>1025</v>
      </c>
      <c r="C10" s="12" t="s">
        <v>1030</v>
      </c>
      <c r="D10" s="12" t="s">
        <v>1031</v>
      </c>
      <c r="E10" s="12" t="s">
        <v>1032</v>
      </c>
      <c r="F10" s="13"/>
      <c r="G10" s="15" t="s">
        <v>89</v>
      </c>
      <c r="H10" s="11" t="s">
        <v>95</v>
      </c>
    </row>
    <row r="11" customFormat="false" ht="45.75" hidden="false" customHeight="true" outlineLevel="0" collapsed="false">
      <c r="A11" s="11" t="s">
        <v>1033</v>
      </c>
      <c r="B11" s="12" t="s">
        <v>1034</v>
      </c>
      <c r="C11" s="12" t="s">
        <v>1035</v>
      </c>
      <c r="D11" s="12" t="s">
        <v>1036</v>
      </c>
      <c r="E11" s="12" t="s">
        <v>1037</v>
      </c>
      <c r="F11" s="13"/>
      <c r="G11" s="15" t="s">
        <v>89</v>
      </c>
      <c r="H11" s="11" t="s">
        <v>84</v>
      </c>
    </row>
    <row r="12" customFormat="false" ht="45.75" hidden="false" customHeight="true" outlineLevel="0" collapsed="false">
      <c r="A12" s="11" t="s">
        <v>1038</v>
      </c>
      <c r="B12" s="12" t="s">
        <v>1034</v>
      </c>
      <c r="C12" s="12" t="s">
        <v>1039</v>
      </c>
      <c r="D12" s="12" t="s">
        <v>1040</v>
      </c>
      <c r="E12" s="12" t="s">
        <v>1041</v>
      </c>
      <c r="F12" s="13"/>
      <c r="G12" s="15" t="s">
        <v>89</v>
      </c>
      <c r="H12" s="11" t="s">
        <v>84</v>
      </c>
    </row>
  </sheetData>
  <autoFilter ref="A2:H1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1042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1043</v>
      </c>
      <c r="B3" s="12" t="s">
        <v>1044</v>
      </c>
      <c r="C3" s="12" t="s">
        <v>1045</v>
      </c>
      <c r="D3" s="12" t="s">
        <v>1046</v>
      </c>
      <c r="E3" s="12" t="s">
        <v>1047</v>
      </c>
      <c r="F3" s="13"/>
      <c r="G3" s="14" t="s">
        <v>78</v>
      </c>
      <c r="H3" s="11" t="s">
        <v>95</v>
      </c>
    </row>
    <row r="4" customFormat="false" ht="45.75" hidden="false" customHeight="true" outlineLevel="0" collapsed="false">
      <c r="A4" s="11" t="s">
        <v>1048</v>
      </c>
      <c r="B4" s="12" t="s">
        <v>1044</v>
      </c>
      <c r="C4" s="12" t="s">
        <v>1049</v>
      </c>
      <c r="D4" s="12" t="s">
        <v>1050</v>
      </c>
      <c r="E4" s="12" t="s">
        <v>1051</v>
      </c>
      <c r="F4" s="13"/>
      <c r="G4" s="14" t="s">
        <v>78</v>
      </c>
      <c r="H4" s="11" t="s">
        <v>95</v>
      </c>
    </row>
    <row r="5" customFormat="false" ht="45.75" hidden="false" customHeight="true" outlineLevel="0" collapsed="false">
      <c r="A5" s="11" t="s">
        <v>1052</v>
      </c>
      <c r="B5" s="12" t="s">
        <v>1053</v>
      </c>
      <c r="C5" s="12" t="s">
        <v>1054</v>
      </c>
      <c r="D5" s="12" t="s">
        <v>1055</v>
      </c>
      <c r="E5" s="12" t="s">
        <v>1056</v>
      </c>
      <c r="F5" s="13"/>
      <c r="G5" s="14" t="s">
        <v>78</v>
      </c>
      <c r="H5" s="11" t="s">
        <v>79</v>
      </c>
    </row>
    <row r="6" customFormat="false" ht="45.75" hidden="false" customHeight="true" outlineLevel="0" collapsed="false">
      <c r="A6" s="11" t="s">
        <v>1057</v>
      </c>
      <c r="B6" s="12" t="s">
        <v>1058</v>
      </c>
      <c r="C6" s="12" t="s">
        <v>1059</v>
      </c>
      <c r="D6" s="12" t="s">
        <v>1060</v>
      </c>
      <c r="E6" s="12" t="s">
        <v>1061</v>
      </c>
      <c r="F6" s="13"/>
      <c r="G6" s="15" t="s">
        <v>89</v>
      </c>
      <c r="H6" s="11" t="s">
        <v>95</v>
      </c>
    </row>
    <row r="7" customFormat="false" ht="45.75" hidden="false" customHeight="true" outlineLevel="0" collapsed="false">
      <c r="A7" s="11" t="s">
        <v>1062</v>
      </c>
      <c r="B7" s="12" t="s">
        <v>1058</v>
      </c>
      <c r="C7" s="12" t="s">
        <v>1063</v>
      </c>
      <c r="D7" s="12" t="s">
        <v>1064</v>
      </c>
      <c r="E7" s="12" t="s">
        <v>1065</v>
      </c>
      <c r="F7" s="13"/>
      <c r="G7" s="14" t="s">
        <v>78</v>
      </c>
      <c r="H7" s="11" t="s">
        <v>95</v>
      </c>
    </row>
    <row r="8" customFormat="false" ht="45.75" hidden="false" customHeight="true" outlineLevel="0" collapsed="false">
      <c r="A8" s="11" t="s">
        <v>1066</v>
      </c>
      <c r="B8" s="12" t="s">
        <v>1067</v>
      </c>
      <c r="C8" s="12" t="s">
        <v>1068</v>
      </c>
      <c r="D8" s="12" t="s">
        <v>1069</v>
      </c>
      <c r="E8" s="12" t="s">
        <v>1070</v>
      </c>
      <c r="F8" s="13"/>
      <c r="G8" s="14" t="s">
        <v>78</v>
      </c>
      <c r="H8" s="11" t="s">
        <v>108</v>
      </c>
    </row>
    <row r="9" customFormat="false" ht="45.75" hidden="false" customHeight="true" outlineLevel="0" collapsed="false">
      <c r="A9" s="11" t="s">
        <v>1071</v>
      </c>
      <c r="B9" s="12" t="s">
        <v>1067</v>
      </c>
      <c r="C9" s="12" t="s">
        <v>1072</v>
      </c>
      <c r="D9" s="12" t="s">
        <v>1073</v>
      </c>
      <c r="E9" s="12" t="s">
        <v>1074</v>
      </c>
      <c r="F9" s="13"/>
      <c r="G9" s="14" t="s">
        <v>78</v>
      </c>
      <c r="H9" s="11" t="s">
        <v>95</v>
      </c>
    </row>
    <row r="10" customFormat="false" ht="45.75" hidden="false" customHeight="true" outlineLevel="0" collapsed="false">
      <c r="A10" s="11" t="s">
        <v>1075</v>
      </c>
      <c r="B10" s="12" t="s">
        <v>1076</v>
      </c>
      <c r="C10" s="12" t="s">
        <v>1077</v>
      </c>
      <c r="D10" s="12" t="s">
        <v>1078</v>
      </c>
      <c r="E10" s="12" t="s">
        <v>1079</v>
      </c>
      <c r="F10" s="13"/>
      <c r="G10" s="14" t="s">
        <v>78</v>
      </c>
      <c r="H10" s="11" t="s">
        <v>95</v>
      </c>
    </row>
    <row r="11" customFormat="false" ht="45.75" hidden="false" customHeight="true" outlineLevel="0" collapsed="false">
      <c r="A11" s="11" t="s">
        <v>1080</v>
      </c>
      <c r="B11" s="12" t="s">
        <v>1081</v>
      </c>
      <c r="C11" s="12" t="s">
        <v>1082</v>
      </c>
      <c r="D11" s="12" t="s">
        <v>1083</v>
      </c>
      <c r="E11" s="12" t="s">
        <v>1084</v>
      </c>
      <c r="F11" s="13"/>
      <c r="G11" s="15" t="s">
        <v>89</v>
      </c>
      <c r="H11" s="11" t="s">
        <v>95</v>
      </c>
    </row>
    <row r="12" customFormat="false" ht="45.75" hidden="false" customHeight="true" outlineLevel="0" collapsed="false">
      <c r="A12" s="11" t="s">
        <v>1085</v>
      </c>
      <c r="B12" s="12" t="s">
        <v>1086</v>
      </c>
      <c r="C12" s="12" t="s">
        <v>1087</v>
      </c>
      <c r="D12" s="12" t="s">
        <v>1088</v>
      </c>
      <c r="E12" s="12" t="s">
        <v>1089</v>
      </c>
      <c r="F12" s="13"/>
      <c r="G12" s="15" t="s">
        <v>89</v>
      </c>
      <c r="H12" s="11" t="s">
        <v>95</v>
      </c>
    </row>
  </sheetData>
  <autoFilter ref="A2:H1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9" t="s">
        <v>1090</v>
      </c>
      <c r="B1" s="9"/>
      <c r="C1" s="9"/>
      <c r="D1" s="9"/>
      <c r="E1" s="9"/>
      <c r="F1" s="9"/>
      <c r="G1" s="9"/>
      <c r="H1" s="9"/>
    </row>
    <row r="2" customFormat="false" ht="30" hidden="false" customHeight="true" outlineLevel="0" collapsed="false">
      <c r="A2" s="10" t="s">
        <v>9</v>
      </c>
      <c r="B2" s="10" t="s">
        <v>11</v>
      </c>
      <c r="C2" s="10" t="s">
        <v>13</v>
      </c>
      <c r="D2" s="10" t="s">
        <v>71</v>
      </c>
      <c r="E2" s="10" t="s">
        <v>72</v>
      </c>
      <c r="F2" s="10" t="s">
        <v>19</v>
      </c>
      <c r="G2" s="10" t="s">
        <v>21</v>
      </c>
      <c r="H2" s="10" t="s">
        <v>23</v>
      </c>
    </row>
    <row r="3" customFormat="false" ht="45.75" hidden="false" customHeight="true" outlineLevel="0" collapsed="false">
      <c r="A3" s="11" t="s">
        <v>1091</v>
      </c>
      <c r="B3" s="12" t="s">
        <v>1092</v>
      </c>
      <c r="C3" s="12" t="s">
        <v>1093</v>
      </c>
      <c r="D3" s="12" t="s">
        <v>1094</v>
      </c>
      <c r="E3" s="12" t="s">
        <v>1095</v>
      </c>
      <c r="F3" s="13"/>
      <c r="G3" s="15" t="s">
        <v>89</v>
      </c>
      <c r="H3" s="11" t="s">
        <v>84</v>
      </c>
    </row>
    <row r="4" customFormat="false" ht="45.75" hidden="false" customHeight="true" outlineLevel="0" collapsed="false">
      <c r="A4" s="11" t="s">
        <v>1096</v>
      </c>
      <c r="B4" s="12" t="s">
        <v>1092</v>
      </c>
      <c r="C4" s="12" t="s">
        <v>1097</v>
      </c>
      <c r="D4" s="12" t="s">
        <v>1098</v>
      </c>
      <c r="E4" s="12" t="s">
        <v>1099</v>
      </c>
      <c r="F4" s="13"/>
      <c r="G4" s="15" t="s">
        <v>89</v>
      </c>
      <c r="H4" s="11" t="s">
        <v>84</v>
      </c>
    </row>
    <row r="5" customFormat="false" ht="45.75" hidden="false" customHeight="true" outlineLevel="0" collapsed="false">
      <c r="A5" s="11" t="s">
        <v>1100</v>
      </c>
      <c r="B5" s="12" t="s">
        <v>674</v>
      </c>
      <c r="C5" s="12" t="s">
        <v>1101</v>
      </c>
      <c r="D5" s="12" t="s">
        <v>1102</v>
      </c>
      <c r="E5" s="12" t="s">
        <v>1103</v>
      </c>
      <c r="F5" s="13"/>
      <c r="G5" s="14" t="s">
        <v>78</v>
      </c>
      <c r="H5" s="11" t="s">
        <v>84</v>
      </c>
    </row>
    <row r="6" customFormat="false" ht="45.75" hidden="false" customHeight="true" outlineLevel="0" collapsed="false">
      <c r="A6" s="11" t="s">
        <v>1104</v>
      </c>
      <c r="B6" s="12" t="s">
        <v>674</v>
      </c>
      <c r="C6" s="12" t="s">
        <v>1105</v>
      </c>
      <c r="D6" s="12" t="s">
        <v>1106</v>
      </c>
      <c r="E6" s="12" t="s">
        <v>1107</v>
      </c>
      <c r="F6" s="13"/>
      <c r="G6" s="15" t="s">
        <v>89</v>
      </c>
      <c r="H6" s="11" t="s">
        <v>84</v>
      </c>
    </row>
    <row r="7" customFormat="false" ht="45.75" hidden="false" customHeight="true" outlineLevel="0" collapsed="false">
      <c r="A7" s="11" t="s">
        <v>1108</v>
      </c>
      <c r="B7" s="12" t="s">
        <v>674</v>
      </c>
      <c r="C7" s="12" t="s">
        <v>1109</v>
      </c>
      <c r="D7" s="12" t="s">
        <v>1110</v>
      </c>
      <c r="E7" s="12" t="s">
        <v>1111</v>
      </c>
      <c r="F7" s="13"/>
      <c r="G7" s="15" t="s">
        <v>89</v>
      </c>
      <c r="H7" s="11" t="s">
        <v>84</v>
      </c>
    </row>
    <row r="8" customFormat="false" ht="45.75" hidden="false" customHeight="true" outlineLevel="0" collapsed="false">
      <c r="A8" s="11" t="s">
        <v>1112</v>
      </c>
      <c r="B8" s="12" t="s">
        <v>1113</v>
      </c>
      <c r="C8" s="12" t="s">
        <v>1114</v>
      </c>
      <c r="D8" s="12" t="s">
        <v>1115</v>
      </c>
      <c r="E8" s="12" t="s">
        <v>1116</v>
      </c>
      <c r="F8" s="13"/>
      <c r="G8" s="14" t="s">
        <v>78</v>
      </c>
      <c r="H8" s="11" t="s">
        <v>84</v>
      </c>
    </row>
    <row r="9" customFormat="false" ht="45.75" hidden="false" customHeight="true" outlineLevel="0" collapsed="false">
      <c r="A9" s="11" t="s">
        <v>1117</v>
      </c>
      <c r="B9" s="12" t="s">
        <v>1118</v>
      </c>
      <c r="C9" s="12" t="s">
        <v>1119</v>
      </c>
      <c r="D9" s="12" t="s">
        <v>1120</v>
      </c>
      <c r="E9" s="12" t="s">
        <v>1121</v>
      </c>
      <c r="F9" s="13"/>
      <c r="G9" s="15" t="s">
        <v>89</v>
      </c>
      <c r="H9" s="11" t="s">
        <v>84</v>
      </c>
    </row>
    <row r="10" customFormat="false" ht="45.75" hidden="false" customHeight="true" outlineLevel="0" collapsed="false">
      <c r="A10" s="11" t="s">
        <v>1122</v>
      </c>
      <c r="B10" s="12" t="s">
        <v>1118</v>
      </c>
      <c r="C10" s="12" t="s">
        <v>1123</v>
      </c>
      <c r="D10" s="12" t="s">
        <v>1124</v>
      </c>
      <c r="E10" s="12" t="s">
        <v>1125</v>
      </c>
      <c r="F10" s="13"/>
      <c r="G10" s="15" t="s">
        <v>89</v>
      </c>
      <c r="H10" s="11" t="s">
        <v>84</v>
      </c>
    </row>
    <row r="11" customFormat="false" ht="45.75" hidden="false" customHeight="true" outlineLevel="0" collapsed="false">
      <c r="A11" s="11" t="s">
        <v>1126</v>
      </c>
      <c r="B11" s="12" t="s">
        <v>1127</v>
      </c>
      <c r="C11" s="12" t="s">
        <v>1128</v>
      </c>
      <c r="D11" s="12" t="s">
        <v>1129</v>
      </c>
      <c r="E11" s="12" t="s">
        <v>1130</v>
      </c>
      <c r="F11" s="13"/>
      <c r="G11" s="15" t="s">
        <v>89</v>
      </c>
      <c r="H11" s="11" t="s">
        <v>84</v>
      </c>
    </row>
    <row r="12" customFormat="false" ht="45.75" hidden="false" customHeight="true" outlineLevel="0" collapsed="false">
      <c r="A12" s="11" t="s">
        <v>1131</v>
      </c>
      <c r="B12" s="12" t="s">
        <v>721</v>
      </c>
      <c r="C12" s="12" t="s">
        <v>1132</v>
      </c>
      <c r="D12" s="12" t="s">
        <v>1133</v>
      </c>
      <c r="E12" s="12" t="s">
        <v>1134</v>
      </c>
      <c r="F12" s="13"/>
      <c r="G12" s="15" t="s">
        <v>89</v>
      </c>
      <c r="H12" s="11" t="s">
        <v>84</v>
      </c>
    </row>
  </sheetData>
  <autoFilter ref="A2:H1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4"/>
    <col collapsed="false" customWidth="true" hidden="false" outlineLevel="0" max="6" min="6" style="0" width="16"/>
    <col collapsed="false" customWidth="true" hidden="false" outlineLevel="0" max="7" min="7" style="0" width="14"/>
  </cols>
  <sheetData>
    <row r="2" customFormat="false" ht="19.7" hidden="false" customHeight="false" outlineLevel="0" collapsed="false">
      <c r="B2" s="16" t="s">
        <v>1135</v>
      </c>
    </row>
    <row r="3" customFormat="false" ht="15" hidden="false" customHeight="false" outlineLevel="0" collapsed="false">
      <c r="B3" s="17" t="s">
        <v>1136</v>
      </c>
    </row>
    <row r="5" customFormat="false" ht="27.75" hidden="false" customHeight="true" outlineLevel="0" collapsed="false">
      <c r="B5" s="18" t="s">
        <v>1137</v>
      </c>
      <c r="C5" s="18" t="s">
        <v>1138</v>
      </c>
      <c r="D5" s="18" t="s">
        <v>1139</v>
      </c>
      <c r="E5" s="18" t="s">
        <v>1140</v>
      </c>
      <c r="F5" s="18" t="s">
        <v>1141</v>
      </c>
      <c r="G5" s="18" t="s">
        <v>1142</v>
      </c>
    </row>
    <row r="6" customFormat="false" ht="15" hidden="false" customHeight="false" outlineLevel="0" collapsed="false">
      <c r="B6" s="19" t="s">
        <v>26</v>
      </c>
      <c r="C6" s="20" t="n">
        <v>15</v>
      </c>
      <c r="D6" s="20" t="n">
        <f aca="false">COUNTA('01 Business and Scope'!F3:F17)</f>
        <v>0</v>
      </c>
      <c r="E6" s="20" t="n">
        <f aca="false">C6-D6</f>
        <v>15</v>
      </c>
      <c r="F6" s="20" t="n">
        <f aca="false">COUNTIFS('01 Business and Scope'!G3:G17,"Critical",'01 Business and Scope'!F3:F17,"")</f>
        <v>10</v>
      </c>
      <c r="G6" s="21" t="n">
        <f aca="false">IF(C6=0,0,D6/C6)</f>
        <v>0</v>
      </c>
    </row>
    <row r="7" customFormat="false" ht="15" hidden="false" customHeight="false" outlineLevel="0" collapsed="false">
      <c r="B7" s="19" t="s">
        <v>28</v>
      </c>
      <c r="C7" s="20" t="n">
        <v>18</v>
      </c>
      <c r="D7" s="20" t="n">
        <f aca="false">COUNTA('02 Architecture and Sizing'!F3:F20)</f>
        <v>0</v>
      </c>
      <c r="E7" s="20" t="n">
        <f aca="false">C7-D7</f>
        <v>18</v>
      </c>
      <c r="F7" s="20" t="n">
        <f aca="false">COUNTIFS('02 Architecture and Sizing'!G3:G20,"Critical",'02 Architecture and Sizing'!F3:F20,"")</f>
        <v>13</v>
      </c>
      <c r="G7" s="21" t="n">
        <f aca="false">IF(C7=0,0,D7/C7)</f>
        <v>0</v>
      </c>
    </row>
    <row r="8" customFormat="false" ht="15" hidden="false" customHeight="false" outlineLevel="0" collapsed="false">
      <c r="B8" s="19" t="s">
        <v>30</v>
      </c>
      <c r="C8" s="20" t="n">
        <v>19</v>
      </c>
      <c r="D8" s="20" t="n">
        <f aca="false">COUNTA('03 Network Infrastructure'!F3:F21)</f>
        <v>0</v>
      </c>
      <c r="E8" s="20" t="n">
        <f aca="false">C8-D8</f>
        <v>19</v>
      </c>
      <c r="F8" s="20" t="n">
        <f aca="false">COUNTIFS('03 Network Infrastructure'!G3:G21,"Critical",'03 Network Infrastructure'!F3:F21,"")</f>
        <v>9</v>
      </c>
      <c r="G8" s="21" t="n">
        <f aca="false">IF(C8=0,0,D8/C8)</f>
        <v>0</v>
      </c>
    </row>
    <row r="9" customFormat="false" ht="15" hidden="false" customHeight="false" outlineLevel="0" collapsed="false">
      <c r="B9" s="19" t="s">
        <v>32</v>
      </c>
      <c r="C9" s="20" t="n">
        <v>15</v>
      </c>
      <c r="D9" s="20" t="n">
        <f aca="false">COUNTA('04 Identity Sources'!F3:F17)</f>
        <v>0</v>
      </c>
      <c r="E9" s="20" t="n">
        <f aca="false">C9-D9</f>
        <v>15</v>
      </c>
      <c r="F9" s="20" t="n">
        <f aca="false">COUNTIFS('04 Identity Sources'!G3:G17,"Critical",'04 Identity Sources'!F3:F17,"")</f>
        <v>5</v>
      </c>
      <c r="G9" s="21" t="n">
        <f aca="false">IF(C9=0,0,D9/C9)</f>
        <v>0</v>
      </c>
    </row>
    <row r="10" customFormat="false" ht="15" hidden="false" customHeight="false" outlineLevel="0" collapsed="false">
      <c r="B10" s="19" t="s">
        <v>34</v>
      </c>
      <c r="C10" s="20" t="n">
        <v>15</v>
      </c>
      <c r="D10" s="20" t="n">
        <f aca="false">COUNTA('05 Endpoints and Profiling'!F3:F17)</f>
        <v>0</v>
      </c>
      <c r="E10" s="20" t="n">
        <f aca="false">C10-D10</f>
        <v>15</v>
      </c>
      <c r="F10" s="20" t="n">
        <f aca="false">COUNTIFS('05 Endpoints and Profiling'!G3:G17,"Critical",'05 Endpoints and Profiling'!F3:F17,"")</f>
        <v>8</v>
      </c>
      <c r="G10" s="21" t="n">
        <f aca="false">IF(C10=0,0,D10/C10)</f>
        <v>0</v>
      </c>
    </row>
    <row r="11" customFormat="false" ht="15" hidden="false" customHeight="false" outlineLevel="0" collapsed="false">
      <c r="B11" s="19" t="s">
        <v>36</v>
      </c>
      <c r="C11" s="20" t="n">
        <v>14</v>
      </c>
      <c r="D11" s="20" t="n">
        <f aca="false">COUNTA('06 Wired Access'!F3:F16)</f>
        <v>0</v>
      </c>
      <c r="E11" s="20" t="n">
        <f aca="false">C11-D11</f>
        <v>14</v>
      </c>
      <c r="F11" s="20" t="n">
        <f aca="false">COUNTIFS('06 Wired Access'!G3:G16,"Critical",'06 Wired Access'!F3:F16,"")</f>
        <v>11</v>
      </c>
      <c r="G11" s="21" t="n">
        <f aca="false">IF(C11=0,0,D11/C11)</f>
        <v>0</v>
      </c>
    </row>
    <row r="12" customFormat="false" ht="15" hidden="false" customHeight="false" outlineLevel="0" collapsed="false">
      <c r="B12" s="19" t="s">
        <v>38</v>
      </c>
      <c r="C12" s="20" t="n">
        <v>10</v>
      </c>
      <c r="D12" s="20" t="n">
        <f aca="false">COUNTA('07 Wireless Access'!F3:F12)</f>
        <v>0</v>
      </c>
      <c r="E12" s="20" t="n">
        <f aca="false">C12-D12</f>
        <v>10</v>
      </c>
      <c r="F12" s="20" t="n">
        <f aca="false">COUNTIFS('07 Wireless Access'!G3:G12,"Critical",'07 Wireless Access'!F3:F12,"")</f>
        <v>6</v>
      </c>
      <c r="G12" s="21" t="n">
        <f aca="false">IF(C12=0,0,D12/C12)</f>
        <v>0</v>
      </c>
    </row>
    <row r="13" customFormat="false" ht="15" hidden="false" customHeight="false" outlineLevel="0" collapsed="false">
      <c r="B13" s="19" t="s">
        <v>40</v>
      </c>
      <c r="C13" s="20" t="n">
        <v>6</v>
      </c>
      <c r="D13" s="20" t="n">
        <f aca="false">COUNTA('08 VPN and Remote Access'!F3:F8)</f>
        <v>0</v>
      </c>
      <c r="E13" s="20" t="n">
        <f aca="false">C13-D13</f>
        <v>6</v>
      </c>
      <c r="F13" s="20" t="n">
        <f aca="false">COUNTIFS('08 VPN and Remote Access'!G3:G8,"Critical",'08 VPN and Remote Access'!F3:F8,"")</f>
        <v>0</v>
      </c>
      <c r="G13" s="21" t="n">
        <f aca="false">IF(C13=0,0,D13/C13)</f>
        <v>0</v>
      </c>
    </row>
    <row r="14" customFormat="false" ht="15" hidden="false" customHeight="false" outlineLevel="0" collapsed="false">
      <c r="B14" s="19" t="s">
        <v>42</v>
      </c>
      <c r="C14" s="20" t="n">
        <v>13</v>
      </c>
      <c r="D14" s="20" t="n">
        <f aca="false">COUNTA('09 Guest Access'!F3:F15)</f>
        <v>0</v>
      </c>
      <c r="E14" s="20" t="n">
        <f aca="false">C14-D14</f>
        <v>13</v>
      </c>
      <c r="F14" s="20" t="n">
        <f aca="false">COUNTIFS('09 Guest Access'!G3:G15,"Critical",'09 Guest Access'!F3:F15,"")</f>
        <v>5</v>
      </c>
      <c r="G14" s="21" t="n">
        <f aca="false">IF(C14=0,0,D14/C14)</f>
        <v>0</v>
      </c>
    </row>
    <row r="15" customFormat="false" ht="15" hidden="false" customHeight="false" outlineLevel="0" collapsed="false">
      <c r="B15" s="19" t="s">
        <v>44</v>
      </c>
      <c r="C15" s="20" t="n">
        <v>10</v>
      </c>
      <c r="D15" s="20" t="n">
        <f aca="false">COUNTA('10 BYOD and Onboarding'!F3:F12)</f>
        <v>0</v>
      </c>
      <c r="E15" s="20" t="n">
        <f aca="false">C15-D15</f>
        <v>10</v>
      </c>
      <c r="F15" s="20" t="n">
        <f aca="false">COUNTIFS('10 BYOD and Onboarding'!G3:G12,"Critical",'10 BYOD and Onboarding'!F3:F12,"")</f>
        <v>6</v>
      </c>
      <c r="G15" s="21" t="n">
        <f aca="false">IF(C15=0,0,D15/C15)</f>
        <v>0</v>
      </c>
    </row>
    <row r="16" customFormat="false" ht="15" hidden="false" customHeight="false" outlineLevel="0" collapsed="false">
      <c r="B16" s="19" t="s">
        <v>46</v>
      </c>
      <c r="C16" s="20" t="n">
        <v>10</v>
      </c>
      <c r="D16" s="20" t="n">
        <f aca="false">COUNTA('11 Posture and Compliance'!F3:F12)</f>
        <v>0</v>
      </c>
      <c r="E16" s="20" t="n">
        <f aca="false">C16-D16</f>
        <v>10</v>
      </c>
      <c r="F16" s="20" t="n">
        <f aca="false">COUNTIFS('11 Posture and Compliance'!G3:G12,"Critical",'11 Posture and Compliance'!F3:F12,"")</f>
        <v>6</v>
      </c>
      <c r="G16" s="21" t="n">
        <f aca="false">IF(C16=0,0,D16/C16)</f>
        <v>0</v>
      </c>
    </row>
    <row r="17" customFormat="false" ht="15" hidden="false" customHeight="false" outlineLevel="0" collapsed="false">
      <c r="B17" s="19" t="s">
        <v>48</v>
      </c>
      <c r="C17" s="20" t="n">
        <v>8</v>
      </c>
      <c r="D17" s="20" t="n">
        <f aca="false">COUNTA('12 TrustSec Segmentation'!F3:F10)</f>
        <v>0</v>
      </c>
      <c r="E17" s="20" t="n">
        <f aca="false">C17-D17</f>
        <v>8</v>
      </c>
      <c r="F17" s="20" t="n">
        <f aca="false">COUNTIFS('12 TrustSec Segmentation'!G3:G10,"Critical",'12 TrustSec Segmentation'!F3:F10,"")</f>
        <v>2</v>
      </c>
      <c r="G17" s="21" t="n">
        <f aca="false">IF(C17=0,0,D17/C17)</f>
        <v>0</v>
      </c>
    </row>
    <row r="18" customFormat="false" ht="15" hidden="false" customHeight="false" outlineLevel="0" collapsed="false">
      <c r="B18" s="19" t="s">
        <v>50</v>
      </c>
      <c r="C18" s="20" t="n">
        <v>10</v>
      </c>
      <c r="D18" s="20" t="n">
        <f aca="false">COUNTA('13 Device Admin TACACS'!F3:F12)</f>
        <v>0</v>
      </c>
      <c r="E18" s="20" t="n">
        <f aca="false">C18-D18</f>
        <v>10</v>
      </c>
      <c r="F18" s="20" t="n">
        <f aca="false">COUNTIFS('13 Device Admin TACACS'!G3:G12,"Critical",'13 Device Admin TACACS'!F3:F12,"")</f>
        <v>6</v>
      </c>
      <c r="G18" s="21" t="n">
        <f aca="false">IF(C18=0,0,D18/C18)</f>
        <v>0</v>
      </c>
    </row>
    <row r="19" customFormat="false" ht="15" hidden="false" customHeight="false" outlineLevel="0" collapsed="false">
      <c r="B19" s="19" t="s">
        <v>52</v>
      </c>
      <c r="C19" s="20" t="n">
        <v>10</v>
      </c>
      <c r="D19" s="20" t="n">
        <f aca="false">COUNTA('14 Certificates and PKI'!F3:F12)</f>
        <v>0</v>
      </c>
      <c r="E19" s="20" t="n">
        <f aca="false">C19-D19</f>
        <v>10</v>
      </c>
      <c r="F19" s="20" t="n">
        <f aca="false">COUNTIFS('14 Certificates and PKI'!G3:G12,"Critical",'14 Certificates and PKI'!F3:F12,"")</f>
        <v>8</v>
      </c>
      <c r="G19" s="21" t="n">
        <f aca="false">IF(C19=0,0,D19/C19)</f>
        <v>0</v>
      </c>
    </row>
    <row r="20" customFormat="false" ht="15" hidden="false" customHeight="false" outlineLevel="0" collapsed="false">
      <c r="B20" s="19" t="s">
        <v>54</v>
      </c>
      <c r="C20" s="20" t="n">
        <v>11</v>
      </c>
      <c r="D20" s="20" t="n">
        <f aca="false">COUNTA('15 Integrations pxGrid'!F3:F13)</f>
        <v>0</v>
      </c>
      <c r="E20" s="20" t="n">
        <f aca="false">C20-D20</f>
        <v>11</v>
      </c>
      <c r="F20" s="20" t="n">
        <f aca="false">COUNTIFS('15 Integrations pxGrid'!G3:G13,"Critical",'15 Integrations pxGrid'!F3:F13,"")</f>
        <v>3</v>
      </c>
      <c r="G20" s="21" t="n">
        <f aca="false">IF(C20=0,0,D20/C20)</f>
        <v>0</v>
      </c>
    </row>
    <row r="21" customFormat="false" ht="15" hidden="false" customHeight="false" outlineLevel="0" collapsed="false">
      <c r="B21" s="19" t="s">
        <v>56</v>
      </c>
      <c r="C21" s="20" t="n">
        <v>10</v>
      </c>
      <c r="D21" s="20" t="n">
        <f aca="false">COUNTA('16 HA and Disaster Recovery'!F3:F12)</f>
        <v>0</v>
      </c>
      <c r="E21" s="20" t="n">
        <f aca="false">C21-D21</f>
        <v>10</v>
      </c>
      <c r="F21" s="20" t="n">
        <f aca="false">COUNTIFS('16 HA and Disaster Recovery'!G3:G12,"Critical",'16 HA and Disaster Recovery'!F3:F12,"")</f>
        <v>7</v>
      </c>
      <c r="G21" s="21" t="n">
        <f aca="false">IF(C21=0,0,D21/C21)</f>
        <v>0</v>
      </c>
    </row>
    <row r="22" customFormat="false" ht="15" hidden="false" customHeight="false" outlineLevel="0" collapsed="false">
      <c r="B22" s="19" t="s">
        <v>58</v>
      </c>
      <c r="C22" s="20" t="n">
        <v>8</v>
      </c>
      <c r="D22" s="20" t="n">
        <f aca="false">COUNTA('17 Licensing'!F3:F10)</f>
        <v>0</v>
      </c>
      <c r="E22" s="20" t="n">
        <f aca="false">C22-D22</f>
        <v>8</v>
      </c>
      <c r="F22" s="20" t="n">
        <f aca="false">COUNTIFS('17 Licensing'!G3:G10,"Critical",'17 Licensing'!F3:F10,"")</f>
        <v>5</v>
      </c>
      <c r="G22" s="21" t="n">
        <f aca="false">IF(C22=0,0,D22/C22)</f>
        <v>0</v>
      </c>
    </row>
    <row r="23" customFormat="false" ht="15" hidden="false" customHeight="false" outlineLevel="0" collapsed="false">
      <c r="B23" s="19" t="s">
        <v>60</v>
      </c>
      <c r="C23" s="20" t="n">
        <v>10</v>
      </c>
      <c r="D23" s="20" t="n">
        <f aca="false">COUNTA('18 Operations Monitoring'!F3:F12)</f>
        <v>0</v>
      </c>
      <c r="E23" s="20" t="n">
        <f aca="false">C23-D23</f>
        <v>10</v>
      </c>
      <c r="F23" s="20" t="n">
        <f aca="false">COUNTIFS('18 Operations Monitoring'!G3:G12,"Critical",'18 Operations Monitoring'!F3:F12,"")</f>
        <v>6</v>
      </c>
      <c r="G23" s="21" t="n">
        <f aca="false">IF(C23=0,0,D23/C23)</f>
        <v>0</v>
      </c>
    </row>
    <row r="24" customFormat="false" ht="15" hidden="false" customHeight="false" outlineLevel="0" collapsed="false">
      <c r="B24" s="19" t="s">
        <v>62</v>
      </c>
      <c r="C24" s="20" t="n">
        <v>10</v>
      </c>
      <c r="D24" s="20" t="n">
        <f aca="false">COUNTA('19 Migration and Rollout'!F3:F12)</f>
        <v>0</v>
      </c>
      <c r="E24" s="20" t="n">
        <f aca="false">C24-D24</f>
        <v>10</v>
      </c>
      <c r="F24" s="20" t="n">
        <f aca="false">COUNTIFS('19 Migration and Rollout'!G3:G12,"Critical",'19 Migration and Rollout'!F3:F12,"")</f>
        <v>7</v>
      </c>
      <c r="G24" s="21" t="n">
        <f aca="false">IF(C24=0,0,D24/C24)</f>
        <v>0</v>
      </c>
    </row>
    <row r="25" customFormat="false" ht="15" hidden="false" customHeight="false" outlineLevel="0" collapsed="false">
      <c r="B25" s="19" t="s">
        <v>64</v>
      </c>
      <c r="C25" s="20" t="n">
        <v>10</v>
      </c>
      <c r="D25" s="20" t="n">
        <f aca="false">COUNTA('20 Security Compliance'!F3:F12)</f>
        <v>0</v>
      </c>
      <c r="E25" s="20" t="n">
        <f aca="false">C25-D25</f>
        <v>10</v>
      </c>
      <c r="F25" s="20" t="n">
        <f aca="false">COUNTIFS('20 Security Compliance'!G3:G12,"Critical",'20 Security Compliance'!F3:F12,"")</f>
        <v>2</v>
      </c>
      <c r="G25" s="21" t="n">
        <f aca="false">IF(C25=0,0,D25/C25)</f>
        <v>0</v>
      </c>
    </row>
    <row r="26" customFormat="false" ht="15" hidden="false" customHeight="false" outlineLevel="0" collapsed="false">
      <c r="B26" s="22" t="s">
        <v>1143</v>
      </c>
      <c r="C26" s="23" t="n">
        <f aca="false">SUM(C6:C25)</f>
        <v>232</v>
      </c>
      <c r="D26" s="23" t="n">
        <f aca="false">SUM(D6:D25)</f>
        <v>0</v>
      </c>
      <c r="E26" s="23" t="n">
        <f aca="false">SUM(E6:E25)</f>
        <v>232</v>
      </c>
      <c r="F26" s="23" t="n">
        <f aca="false">SUM(F6:F25)</f>
        <v>125</v>
      </c>
      <c r="G26" s="24" t="n">
        <f aca="false">IF(C26=0,0,D26/C26)</f>
        <v>0</v>
      </c>
    </row>
    <row r="28" customFormat="false" ht="15" hidden="false" customHeight="false" outlineLevel="0" collapsed="false">
      <c r="B28" s="25" t="s">
        <v>1144</v>
      </c>
      <c r="C28" s="26" t="s">
        <v>1145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2026-08-11T10:48:56Z</dcterms:created>
  <dc:creator>openpyxl</dc:creator>
  <dc:description/>
  <dc:language>en-US</dc:language>
  <cp:lastModifiedBy/>
  <dcterms:modified xsi:type="dcterms:W3CDTF">2026-08-11T10:48:56Z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